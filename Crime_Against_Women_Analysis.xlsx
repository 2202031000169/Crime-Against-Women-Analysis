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7256" windowHeight="5772" firstSheet="1" activeTab="5"/>
  </bookViews>
  <sheets>
    <sheet name="NCRB_CII_2023_Table_3A.2_0" sheetId="1" r:id="rId1"/>
    <sheet name="Normalized_Data" sheetId="4" r:id="rId2"/>
    <sheet name="Detailed_Data_Breakdown" sheetId="18" r:id="rId3"/>
    <sheet name="Dashboard_Data" sheetId="8" r:id="rId4"/>
    <sheet name="Analysis" sheetId="9" r:id="rId5"/>
    <sheet name="Dashboard" sheetId="11" r:id="rId6"/>
    <sheet name="Key_Insights" sheetId="12" r:id="rId7"/>
  </sheets>
  <definedNames>
    <definedName name="ExternalData_1" localSheetId="3" hidden="1">Dashboard_Data!$A$1:$D$1837</definedName>
    <definedName name="ExternalData_1" localSheetId="1" hidden="1">Normalized_Data!$A$1:$D$1837</definedName>
    <definedName name="Slicer_Crime_Category">#N/A</definedName>
    <definedName name="Slicer_Crime_Head">#N/A</definedName>
    <definedName name="Slicer_State_UT">#N/A</definedName>
  </definedNames>
  <calcPr calcId="162913"/>
  <pivotCaches>
    <pivotCache cacheId="6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5" i="11" l="1"/>
  <c r="A7" i="11" l="1"/>
  <c r="F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016" i="8"/>
  <c r="F1017" i="8"/>
  <c r="F1018" i="8"/>
  <c r="F1019" i="8"/>
  <c r="F1020" i="8"/>
  <c r="F1021" i="8"/>
  <c r="F1022" i="8"/>
  <c r="F1023" i="8"/>
  <c r="F1024" i="8"/>
  <c r="F1025" i="8"/>
  <c r="F1026" i="8"/>
  <c r="F1027" i="8"/>
  <c r="F1028" i="8"/>
  <c r="F1029" i="8"/>
  <c r="F1030" i="8"/>
  <c r="F1031" i="8"/>
  <c r="F1032" i="8"/>
  <c r="F1033" i="8"/>
  <c r="F1034" i="8"/>
  <c r="F1035" i="8"/>
  <c r="F1036" i="8"/>
  <c r="F1037" i="8"/>
  <c r="F1038" i="8"/>
  <c r="F1039" i="8"/>
  <c r="F1040" i="8"/>
  <c r="F1041" i="8"/>
  <c r="F1042" i="8"/>
  <c r="F1043" i="8"/>
  <c r="F1044" i="8"/>
  <c r="F1045" i="8"/>
  <c r="F1046" i="8"/>
  <c r="F1047" i="8"/>
  <c r="F1048" i="8"/>
  <c r="F1049" i="8"/>
  <c r="F1050" i="8"/>
  <c r="F1051" i="8"/>
  <c r="F1052" i="8"/>
  <c r="F1053" i="8"/>
  <c r="F1054" i="8"/>
  <c r="F1055" i="8"/>
  <c r="F1056" i="8"/>
  <c r="F1057" i="8"/>
  <c r="F1058" i="8"/>
  <c r="F1059" i="8"/>
  <c r="F1060" i="8"/>
  <c r="F1061" i="8"/>
  <c r="F1062" i="8"/>
  <c r="F1063" i="8"/>
  <c r="F1064" i="8"/>
  <c r="F1065" i="8"/>
  <c r="F1066" i="8"/>
  <c r="F1067" i="8"/>
  <c r="F1068" i="8"/>
  <c r="F1069" i="8"/>
  <c r="F1070" i="8"/>
  <c r="F1071" i="8"/>
  <c r="F1072" i="8"/>
  <c r="F1073" i="8"/>
  <c r="F1074" i="8"/>
  <c r="F1075" i="8"/>
  <c r="F1076" i="8"/>
  <c r="F1077" i="8"/>
  <c r="F1078" i="8"/>
  <c r="F1079" i="8"/>
  <c r="F1080" i="8"/>
  <c r="F1081" i="8"/>
  <c r="F1082" i="8"/>
  <c r="F1083" i="8"/>
  <c r="F1084" i="8"/>
  <c r="F1085" i="8"/>
  <c r="F1086" i="8"/>
  <c r="F1087" i="8"/>
  <c r="F1088" i="8"/>
  <c r="F1089" i="8"/>
  <c r="F1090" i="8"/>
  <c r="F1091" i="8"/>
  <c r="F1092" i="8"/>
  <c r="F1093" i="8"/>
  <c r="F1094" i="8"/>
  <c r="F1095" i="8"/>
  <c r="F1096" i="8"/>
  <c r="F1097" i="8"/>
  <c r="F1098" i="8"/>
  <c r="F1099" i="8"/>
  <c r="F1100" i="8"/>
  <c r="F1101" i="8"/>
  <c r="F1102" i="8"/>
  <c r="F1103" i="8"/>
  <c r="F1104" i="8"/>
  <c r="F1105" i="8"/>
  <c r="F1106" i="8"/>
  <c r="F1107" i="8"/>
  <c r="F1108" i="8"/>
  <c r="F1109" i="8"/>
  <c r="F1110" i="8"/>
  <c r="F1111" i="8"/>
  <c r="F1112" i="8"/>
  <c r="F1113" i="8"/>
  <c r="F1114" i="8"/>
  <c r="F1115" i="8"/>
  <c r="F1116" i="8"/>
  <c r="F1117" i="8"/>
  <c r="F1118" i="8"/>
  <c r="F1119" i="8"/>
  <c r="F1120" i="8"/>
  <c r="F1121" i="8"/>
  <c r="F1122" i="8"/>
  <c r="F1123" i="8"/>
  <c r="F1124" i="8"/>
  <c r="F1125" i="8"/>
  <c r="F1126" i="8"/>
  <c r="F1127" i="8"/>
  <c r="F1128" i="8"/>
  <c r="F1129" i="8"/>
  <c r="F1130" i="8"/>
  <c r="F1131" i="8"/>
  <c r="F1132" i="8"/>
  <c r="F1133" i="8"/>
  <c r="F1134" i="8"/>
  <c r="F1135" i="8"/>
  <c r="F1136" i="8"/>
  <c r="F1137" i="8"/>
  <c r="F1138" i="8"/>
  <c r="F1139" i="8"/>
  <c r="F1140" i="8"/>
  <c r="F1141" i="8"/>
  <c r="F1142" i="8"/>
  <c r="F1143" i="8"/>
  <c r="F1144" i="8"/>
  <c r="F1145" i="8"/>
  <c r="F1146" i="8"/>
  <c r="F1147" i="8"/>
  <c r="F1148" i="8"/>
  <c r="F1149" i="8"/>
  <c r="F1150" i="8"/>
  <c r="F1151" i="8"/>
  <c r="F1152" i="8"/>
  <c r="F1153" i="8"/>
  <c r="F1154" i="8"/>
  <c r="F1155" i="8"/>
  <c r="F1156" i="8"/>
  <c r="F1157" i="8"/>
  <c r="F1158" i="8"/>
  <c r="F1159" i="8"/>
  <c r="F1160" i="8"/>
  <c r="F1161" i="8"/>
  <c r="F1162" i="8"/>
  <c r="F1163" i="8"/>
  <c r="F1164" i="8"/>
  <c r="F1165" i="8"/>
  <c r="F1166" i="8"/>
  <c r="F1167" i="8"/>
  <c r="F1168"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1195" i="8"/>
  <c r="F1196" i="8"/>
  <c r="F1197" i="8"/>
  <c r="F1198" i="8"/>
  <c r="F1199" i="8"/>
  <c r="F1200" i="8"/>
  <c r="F1201" i="8"/>
  <c r="F1202" i="8"/>
  <c r="F1203" i="8"/>
  <c r="F1204" i="8"/>
  <c r="F1205" i="8"/>
  <c r="F1206" i="8"/>
  <c r="F1207" i="8"/>
  <c r="F1208" i="8"/>
  <c r="F1209" i="8"/>
  <c r="F1210" i="8"/>
  <c r="F1211" i="8"/>
  <c r="F1212" i="8"/>
  <c r="F1213" i="8"/>
  <c r="F1214" i="8"/>
  <c r="F1215" i="8"/>
  <c r="F1216" i="8"/>
  <c r="F1217" i="8"/>
  <c r="F1218" i="8"/>
  <c r="F1219" i="8"/>
  <c r="F1220" i="8"/>
  <c r="F1221" i="8"/>
  <c r="F1222" i="8"/>
  <c r="F1223" i="8"/>
  <c r="F1224" i="8"/>
  <c r="F1225" i="8"/>
  <c r="F1226" i="8"/>
  <c r="F1227" i="8"/>
  <c r="F1228" i="8"/>
  <c r="F1229" i="8"/>
  <c r="F1230" i="8"/>
  <c r="F1231" i="8"/>
  <c r="F1232" i="8"/>
  <c r="F1233" i="8"/>
  <c r="F1234" i="8"/>
  <c r="F1235" i="8"/>
  <c r="F1236" i="8"/>
  <c r="F1237" i="8"/>
  <c r="F1238" i="8"/>
  <c r="F1239" i="8"/>
  <c r="F1240" i="8"/>
  <c r="F1241" i="8"/>
  <c r="F1242" i="8"/>
  <c r="F1243" i="8"/>
  <c r="F1244" i="8"/>
  <c r="F1245" i="8"/>
  <c r="F1246" i="8"/>
  <c r="F1247" i="8"/>
  <c r="F1248" i="8"/>
  <c r="F1249" i="8"/>
  <c r="F1250" i="8"/>
  <c r="F1251" i="8"/>
  <c r="F1252" i="8"/>
  <c r="F1253" i="8"/>
  <c r="F1254" i="8"/>
  <c r="F1255" i="8"/>
  <c r="F1256" i="8"/>
  <c r="F1257" i="8"/>
  <c r="F1258" i="8"/>
  <c r="F1259" i="8"/>
  <c r="F1260" i="8"/>
  <c r="F1261" i="8"/>
  <c r="F1262" i="8"/>
  <c r="F1263" i="8"/>
  <c r="F1264" i="8"/>
  <c r="F1265" i="8"/>
  <c r="F1266" i="8"/>
  <c r="F1267" i="8"/>
  <c r="F1268" i="8"/>
  <c r="F1269" i="8"/>
  <c r="F1270" i="8"/>
  <c r="F1271" i="8"/>
  <c r="F1272" i="8"/>
  <c r="F1273" i="8"/>
  <c r="F1274" i="8"/>
  <c r="F1275" i="8"/>
  <c r="F1276" i="8"/>
  <c r="F1277" i="8"/>
  <c r="F1278" i="8"/>
  <c r="F1279" i="8"/>
  <c r="F1280" i="8"/>
  <c r="F1281" i="8"/>
  <c r="F1282" i="8"/>
  <c r="F1283" i="8"/>
  <c r="F1284" i="8"/>
  <c r="F1285" i="8"/>
  <c r="F1286" i="8"/>
  <c r="F1287" i="8"/>
  <c r="F1288" i="8"/>
  <c r="F1289" i="8"/>
  <c r="F1290" i="8"/>
  <c r="F1291" i="8"/>
  <c r="F1292" i="8"/>
  <c r="F1293" i="8"/>
  <c r="F1294" i="8"/>
  <c r="F1295" i="8"/>
  <c r="F1296" i="8"/>
  <c r="F1297" i="8"/>
  <c r="F1298" i="8"/>
  <c r="F1299" i="8"/>
  <c r="F1300" i="8"/>
  <c r="F1301" i="8"/>
  <c r="F1302" i="8"/>
  <c r="F1303" i="8"/>
  <c r="F1304" i="8"/>
  <c r="F1305" i="8"/>
  <c r="F1306" i="8"/>
  <c r="F1307" i="8"/>
  <c r="F1308" i="8"/>
  <c r="F1309" i="8"/>
  <c r="F1310" i="8"/>
  <c r="F1311" i="8"/>
  <c r="F1312" i="8"/>
  <c r="F1313" i="8"/>
  <c r="F1314" i="8"/>
  <c r="F1315" i="8"/>
  <c r="F1316" i="8"/>
  <c r="F1317" i="8"/>
  <c r="F1318" i="8"/>
  <c r="F1319" i="8"/>
  <c r="F1320" i="8"/>
  <c r="F1321" i="8"/>
  <c r="F1322" i="8"/>
  <c r="F1323" i="8"/>
  <c r="F1324" i="8"/>
  <c r="F1325" i="8"/>
  <c r="F1326" i="8"/>
  <c r="F1327" i="8"/>
  <c r="F1328" i="8"/>
  <c r="F1329" i="8"/>
  <c r="F1330" i="8"/>
  <c r="F1331" i="8"/>
  <c r="F1332" i="8"/>
  <c r="F1333" i="8"/>
  <c r="F1334" i="8"/>
  <c r="F1335" i="8"/>
  <c r="F1336" i="8"/>
  <c r="F1337" i="8"/>
  <c r="F1338" i="8"/>
  <c r="F1339" i="8"/>
  <c r="F1340" i="8"/>
  <c r="F1341" i="8"/>
  <c r="F1342" i="8"/>
  <c r="F1343" i="8"/>
  <c r="F1344" i="8"/>
  <c r="F1345" i="8"/>
  <c r="F1346" i="8"/>
  <c r="F1347" i="8"/>
  <c r="F1348" i="8"/>
  <c r="F1349" i="8"/>
  <c r="F1350" i="8"/>
  <c r="F1351" i="8"/>
  <c r="F1352" i="8"/>
  <c r="F1353" i="8"/>
  <c r="F1354" i="8"/>
  <c r="F1355" i="8"/>
  <c r="F1356" i="8"/>
  <c r="F1357" i="8"/>
  <c r="F1358" i="8"/>
  <c r="F1359" i="8"/>
  <c r="F1360" i="8"/>
  <c r="F1361" i="8"/>
  <c r="F1362" i="8"/>
  <c r="F1363" i="8"/>
  <c r="F1364" i="8"/>
  <c r="F1365" i="8"/>
  <c r="F1366" i="8"/>
  <c r="F1367" i="8"/>
  <c r="F1368" i="8"/>
  <c r="F1369" i="8"/>
  <c r="F1370" i="8"/>
  <c r="F1371" i="8"/>
  <c r="F1372" i="8"/>
  <c r="F1373" i="8"/>
  <c r="F1374" i="8"/>
  <c r="F1375" i="8"/>
  <c r="F1376" i="8"/>
  <c r="F1377" i="8"/>
  <c r="F1378" i="8"/>
  <c r="F1379" i="8"/>
  <c r="F1380" i="8"/>
  <c r="F1381" i="8"/>
  <c r="F1382" i="8"/>
  <c r="F1383" i="8"/>
  <c r="F1384" i="8"/>
  <c r="F1385" i="8"/>
  <c r="F1386" i="8"/>
  <c r="F1387" i="8"/>
  <c r="F1388" i="8"/>
  <c r="F1389" i="8"/>
  <c r="F1390" i="8"/>
  <c r="F1391" i="8"/>
  <c r="F1392" i="8"/>
  <c r="F1393" i="8"/>
  <c r="F1394" i="8"/>
  <c r="F1395" i="8"/>
  <c r="F1396" i="8"/>
  <c r="F1397" i="8"/>
  <c r="F1398" i="8"/>
  <c r="F1399" i="8"/>
  <c r="F1400" i="8"/>
  <c r="F1401" i="8"/>
  <c r="F1402" i="8"/>
  <c r="F1403" i="8"/>
  <c r="F1404" i="8"/>
  <c r="F1405" i="8"/>
  <c r="F1406" i="8"/>
  <c r="F1407" i="8"/>
  <c r="F1408" i="8"/>
  <c r="F1409" i="8"/>
  <c r="F1410" i="8"/>
  <c r="F1411" i="8"/>
  <c r="F1412" i="8"/>
  <c r="F1413" i="8"/>
  <c r="F1414" i="8"/>
  <c r="F1415" i="8"/>
  <c r="F1416" i="8"/>
  <c r="F1417" i="8"/>
  <c r="F1418" i="8"/>
  <c r="F1419" i="8"/>
  <c r="F1420" i="8"/>
  <c r="F1421" i="8"/>
  <c r="F1422" i="8"/>
  <c r="F1423" i="8"/>
  <c r="F1424" i="8"/>
  <c r="F1425" i="8"/>
  <c r="F1426" i="8"/>
  <c r="F1427" i="8"/>
  <c r="F1428" i="8"/>
  <c r="F1429" i="8"/>
  <c r="F1430" i="8"/>
  <c r="F1431" i="8"/>
  <c r="F1432" i="8"/>
  <c r="F1433" i="8"/>
  <c r="F1434" i="8"/>
  <c r="F1435" i="8"/>
  <c r="F1436" i="8"/>
  <c r="F1437" i="8"/>
  <c r="F1438" i="8"/>
  <c r="F1439" i="8"/>
  <c r="F1440" i="8"/>
  <c r="F1441" i="8"/>
  <c r="F1442" i="8"/>
  <c r="F1443" i="8"/>
  <c r="F1444" i="8"/>
  <c r="F1445" i="8"/>
  <c r="F1446" i="8"/>
  <c r="F1447" i="8"/>
  <c r="F1448" i="8"/>
  <c r="F1449" i="8"/>
  <c r="F1450" i="8"/>
  <c r="F1451" i="8"/>
  <c r="F1452" i="8"/>
  <c r="F1453" i="8"/>
  <c r="F1454" i="8"/>
  <c r="F1455" i="8"/>
  <c r="F1456" i="8"/>
  <c r="F1457" i="8"/>
  <c r="F1458" i="8"/>
  <c r="F1459" i="8"/>
  <c r="F1460" i="8"/>
  <c r="F1461" i="8"/>
  <c r="F1462" i="8"/>
  <c r="F1463" i="8"/>
  <c r="F1464" i="8"/>
  <c r="F1465" i="8"/>
  <c r="F1466" i="8"/>
  <c r="F1467" i="8"/>
  <c r="F1468" i="8"/>
  <c r="F1469" i="8"/>
  <c r="F1470" i="8"/>
  <c r="F1471" i="8"/>
  <c r="F1472" i="8"/>
  <c r="F1473" i="8"/>
  <c r="F1474" i="8"/>
  <c r="F1475" i="8"/>
  <c r="F1476" i="8"/>
  <c r="F1477" i="8"/>
  <c r="F1478" i="8"/>
  <c r="F1479" i="8"/>
  <c r="F1480" i="8"/>
  <c r="F1481" i="8"/>
  <c r="F1482" i="8"/>
  <c r="F1483" i="8"/>
  <c r="F1484" i="8"/>
  <c r="F1485" i="8"/>
  <c r="F1486" i="8"/>
  <c r="F1487" i="8"/>
  <c r="F1488" i="8"/>
  <c r="F1489" i="8"/>
  <c r="F1490" i="8"/>
  <c r="F1491" i="8"/>
  <c r="F1492" i="8"/>
  <c r="F1493" i="8"/>
  <c r="F1494" i="8"/>
  <c r="F1495" i="8"/>
  <c r="F1496" i="8"/>
  <c r="F1497" i="8"/>
  <c r="F1498" i="8"/>
  <c r="F1499" i="8"/>
  <c r="F1500" i="8"/>
  <c r="F1501" i="8"/>
  <c r="F1502" i="8"/>
  <c r="F1503" i="8"/>
  <c r="F1504" i="8"/>
  <c r="F1505" i="8"/>
  <c r="F1506" i="8"/>
  <c r="F1507" i="8"/>
  <c r="F1508" i="8"/>
  <c r="F1509" i="8"/>
  <c r="F1510" i="8"/>
  <c r="F1511" i="8"/>
  <c r="F1512" i="8"/>
  <c r="F1513" i="8"/>
  <c r="F1514" i="8"/>
  <c r="F1515" i="8"/>
  <c r="F1516" i="8"/>
  <c r="F1517" i="8"/>
  <c r="F1518" i="8"/>
  <c r="F1519" i="8"/>
  <c r="F1520" i="8"/>
  <c r="F1521" i="8"/>
  <c r="F1522" i="8"/>
  <c r="F1523" i="8"/>
  <c r="F1524" i="8"/>
  <c r="F1525" i="8"/>
  <c r="F1526" i="8"/>
  <c r="F1527" i="8"/>
  <c r="F1528" i="8"/>
  <c r="F1529" i="8"/>
  <c r="F1530" i="8"/>
  <c r="F1531" i="8"/>
  <c r="F1532" i="8"/>
  <c r="F1533" i="8"/>
  <c r="F1534" i="8"/>
  <c r="F1535" i="8"/>
  <c r="F1536" i="8"/>
  <c r="F1537" i="8"/>
  <c r="F1538" i="8"/>
  <c r="F1539" i="8"/>
  <c r="F1540" i="8"/>
  <c r="F1541" i="8"/>
  <c r="F1542" i="8"/>
  <c r="F1543" i="8"/>
  <c r="F1544" i="8"/>
  <c r="F1545" i="8"/>
  <c r="F1546" i="8"/>
  <c r="F1547" i="8"/>
  <c r="F1548" i="8"/>
  <c r="F1549" i="8"/>
  <c r="F1550" i="8"/>
  <c r="F1551" i="8"/>
  <c r="F1552" i="8"/>
  <c r="F1553" i="8"/>
  <c r="F1554" i="8"/>
  <c r="F1555" i="8"/>
  <c r="F1556" i="8"/>
  <c r="F1557" i="8"/>
  <c r="F1558" i="8"/>
  <c r="F1559" i="8"/>
  <c r="F1560" i="8"/>
  <c r="F1561" i="8"/>
  <c r="F1562" i="8"/>
  <c r="F1563" i="8"/>
  <c r="F1564" i="8"/>
  <c r="F1565" i="8"/>
  <c r="F1566" i="8"/>
  <c r="F1567" i="8"/>
  <c r="F1568" i="8"/>
  <c r="F1569" i="8"/>
  <c r="F1570" i="8"/>
  <c r="F1571" i="8"/>
  <c r="F1572" i="8"/>
  <c r="F1573" i="8"/>
  <c r="F1574" i="8"/>
  <c r="F1575" i="8"/>
  <c r="F1576" i="8"/>
  <c r="F1577" i="8"/>
  <c r="F1578" i="8"/>
  <c r="F1579" i="8"/>
  <c r="F1580" i="8"/>
  <c r="F1581" i="8"/>
  <c r="F1582" i="8"/>
  <c r="F1583" i="8"/>
  <c r="F1584" i="8"/>
  <c r="F1585" i="8"/>
  <c r="F1586" i="8"/>
  <c r="F1587" i="8"/>
  <c r="F1588" i="8"/>
  <c r="F1589" i="8"/>
  <c r="F1590" i="8"/>
  <c r="F1591" i="8"/>
  <c r="F1592" i="8"/>
  <c r="F1593" i="8"/>
  <c r="F1594" i="8"/>
  <c r="F1595" i="8"/>
  <c r="F1596" i="8"/>
  <c r="F1597" i="8"/>
  <c r="F1598" i="8"/>
  <c r="F1599" i="8"/>
  <c r="F1600" i="8"/>
  <c r="F1601" i="8"/>
  <c r="F1602" i="8"/>
  <c r="F1603" i="8"/>
  <c r="F1604" i="8"/>
  <c r="F1605" i="8"/>
  <c r="F1606" i="8"/>
  <c r="F1607" i="8"/>
  <c r="F1608" i="8"/>
  <c r="F1609" i="8"/>
  <c r="F1610" i="8"/>
  <c r="F1611" i="8"/>
  <c r="F1612" i="8"/>
  <c r="F1613" i="8"/>
  <c r="F1614" i="8"/>
  <c r="F1615" i="8"/>
  <c r="F1616" i="8"/>
  <c r="F1617" i="8"/>
  <c r="F1618" i="8"/>
  <c r="F1619" i="8"/>
  <c r="F1620" i="8"/>
  <c r="F1621" i="8"/>
  <c r="F1622" i="8"/>
  <c r="F1623" i="8"/>
  <c r="F1624" i="8"/>
  <c r="F1625" i="8"/>
  <c r="F1626" i="8"/>
  <c r="F1627" i="8"/>
  <c r="F1628" i="8"/>
  <c r="F1629" i="8"/>
  <c r="F1630" i="8"/>
  <c r="F1631" i="8"/>
  <c r="F1632" i="8"/>
  <c r="F1633" i="8"/>
  <c r="F1634" i="8"/>
  <c r="F1635" i="8"/>
  <c r="F1636" i="8"/>
  <c r="F1637" i="8"/>
  <c r="F1638" i="8"/>
  <c r="F1639" i="8"/>
  <c r="F1640" i="8"/>
  <c r="F1641" i="8"/>
  <c r="F1642" i="8"/>
  <c r="F1643" i="8"/>
  <c r="F1644" i="8"/>
  <c r="F1645" i="8"/>
  <c r="F1646" i="8"/>
  <c r="F1647" i="8"/>
  <c r="F1648" i="8"/>
  <c r="F1649" i="8"/>
  <c r="F1650" i="8"/>
  <c r="F1651" i="8"/>
  <c r="F1652" i="8"/>
  <c r="F1653" i="8"/>
  <c r="F1654" i="8"/>
  <c r="F1655" i="8"/>
  <c r="F1656" i="8"/>
  <c r="F1657" i="8"/>
  <c r="F1658" i="8"/>
  <c r="F1659" i="8"/>
  <c r="F1660" i="8"/>
  <c r="F1661" i="8"/>
  <c r="F1662" i="8"/>
  <c r="F1663" i="8"/>
  <c r="F1664" i="8"/>
  <c r="F1665" i="8"/>
  <c r="F1666" i="8"/>
  <c r="F1667" i="8"/>
  <c r="F1668" i="8"/>
  <c r="F1669" i="8"/>
  <c r="F1670" i="8"/>
  <c r="F1671" i="8"/>
  <c r="F1672" i="8"/>
  <c r="F1673" i="8"/>
  <c r="F1674" i="8"/>
  <c r="F1675" i="8"/>
  <c r="F1676" i="8"/>
  <c r="F1677" i="8"/>
  <c r="F1678" i="8"/>
  <c r="F1679" i="8"/>
  <c r="F1680" i="8"/>
  <c r="F1681" i="8"/>
  <c r="F1682" i="8"/>
  <c r="F1683" i="8"/>
  <c r="F1684" i="8"/>
  <c r="F1685" i="8"/>
  <c r="F1686" i="8"/>
  <c r="F1687" i="8"/>
  <c r="F1688" i="8"/>
  <c r="F1689" i="8"/>
  <c r="F1690" i="8"/>
  <c r="F1691" i="8"/>
  <c r="F1692" i="8"/>
  <c r="F1693" i="8"/>
  <c r="F1694" i="8"/>
  <c r="F1695" i="8"/>
  <c r="F1696" i="8"/>
  <c r="F1697" i="8"/>
  <c r="F1698" i="8"/>
  <c r="F1699" i="8"/>
  <c r="F1700" i="8"/>
  <c r="F1701" i="8"/>
  <c r="F1702" i="8"/>
  <c r="F1703" i="8"/>
  <c r="F1704" i="8"/>
  <c r="F1705" i="8"/>
  <c r="F1706" i="8"/>
  <c r="F1707" i="8"/>
  <c r="F1708" i="8"/>
  <c r="F1709" i="8"/>
  <c r="F1710" i="8"/>
  <c r="F1711" i="8"/>
  <c r="F1712" i="8"/>
  <c r="F1713" i="8"/>
  <c r="F1714" i="8"/>
  <c r="F1715" i="8"/>
  <c r="F1716" i="8"/>
  <c r="F1717" i="8"/>
  <c r="F1718" i="8"/>
  <c r="F1719" i="8"/>
  <c r="F1720" i="8"/>
  <c r="F1721" i="8"/>
  <c r="F1722" i="8"/>
  <c r="F1723" i="8"/>
  <c r="F1724" i="8"/>
  <c r="F1725" i="8"/>
  <c r="F1726" i="8"/>
  <c r="F1727" i="8"/>
  <c r="F1728" i="8"/>
  <c r="F1729" i="8"/>
  <c r="F1730" i="8"/>
  <c r="F1731" i="8"/>
  <c r="F1732" i="8"/>
  <c r="F1733" i="8"/>
  <c r="F1734" i="8"/>
  <c r="F1735" i="8"/>
  <c r="F1736" i="8"/>
  <c r="F1737" i="8"/>
  <c r="F1738" i="8"/>
  <c r="F1739" i="8"/>
  <c r="F1740" i="8"/>
  <c r="F1741" i="8"/>
  <c r="F1742" i="8"/>
  <c r="F1743" i="8"/>
  <c r="F1744" i="8"/>
  <c r="F1745" i="8"/>
  <c r="F1746" i="8"/>
  <c r="F1747" i="8"/>
  <c r="F1748" i="8"/>
  <c r="F1749" i="8"/>
  <c r="F1750" i="8"/>
  <c r="F1751" i="8"/>
  <c r="F1752" i="8"/>
  <c r="F1753" i="8"/>
  <c r="F1754" i="8"/>
  <c r="F1755" i="8"/>
  <c r="F1756" i="8"/>
  <c r="F1757" i="8"/>
  <c r="F1758" i="8"/>
  <c r="F1759" i="8"/>
  <c r="F1760" i="8"/>
  <c r="F1761" i="8"/>
  <c r="F1762" i="8"/>
  <c r="F1763" i="8"/>
  <c r="F1764" i="8"/>
  <c r="F1765" i="8"/>
  <c r="F1766" i="8"/>
  <c r="F1767" i="8"/>
  <c r="F1768" i="8"/>
  <c r="F1769" i="8"/>
  <c r="F1770" i="8"/>
  <c r="F1771" i="8"/>
  <c r="F1772" i="8"/>
  <c r="F1773" i="8"/>
  <c r="F1774" i="8"/>
  <c r="F1775" i="8"/>
  <c r="F1776" i="8"/>
  <c r="F1777" i="8"/>
  <c r="F1778" i="8"/>
  <c r="F1779" i="8"/>
  <c r="F1780" i="8"/>
  <c r="F1781" i="8"/>
  <c r="F1782" i="8"/>
  <c r="F1783" i="8"/>
  <c r="F1784" i="8"/>
  <c r="F1785" i="8"/>
  <c r="F1786" i="8"/>
  <c r="F1787" i="8"/>
  <c r="F1788" i="8"/>
  <c r="F1789" i="8"/>
  <c r="F1790" i="8"/>
  <c r="F1791" i="8"/>
  <c r="F1792" i="8"/>
  <c r="F1793" i="8"/>
  <c r="F1794" i="8"/>
  <c r="F1795" i="8"/>
  <c r="F1796" i="8"/>
  <c r="F1797" i="8"/>
  <c r="F1798" i="8"/>
  <c r="F1799" i="8"/>
  <c r="F1800" i="8"/>
  <c r="F1801" i="8"/>
  <c r="F1802" i="8"/>
  <c r="F1803" i="8"/>
  <c r="F1804" i="8"/>
  <c r="F1805" i="8"/>
  <c r="F1806" i="8"/>
  <c r="F1807" i="8"/>
  <c r="F1808" i="8"/>
  <c r="F1809" i="8"/>
  <c r="F1810" i="8"/>
  <c r="F1811" i="8"/>
  <c r="F1812" i="8"/>
  <c r="F1813" i="8"/>
  <c r="F1814" i="8"/>
  <c r="F1815" i="8"/>
  <c r="F1816" i="8"/>
  <c r="F1817" i="8"/>
  <c r="F1818" i="8"/>
  <c r="F1819" i="8"/>
  <c r="F1820" i="8"/>
  <c r="F1821" i="8"/>
  <c r="F1822" i="8"/>
  <c r="F1823" i="8"/>
  <c r="F1824" i="8"/>
  <c r="F1825" i="8"/>
  <c r="F1826" i="8"/>
  <c r="F1827" i="8"/>
  <c r="F1828" i="8"/>
  <c r="F1829" i="8"/>
  <c r="F1830" i="8"/>
  <c r="F1831" i="8"/>
  <c r="F1832" i="8"/>
  <c r="F1833" i="8"/>
  <c r="F1834" i="8"/>
  <c r="F1835" i="8"/>
  <c r="F1836" i="8"/>
  <c r="F1837" i="8"/>
  <c r="K15" i="11" l="1"/>
  <c r="K13" i="11"/>
  <c r="F15" i="11"/>
  <c r="F13" i="11"/>
  <c r="A13" i="11"/>
  <c r="P7" i="11"/>
  <c r="F7" i="11"/>
  <c r="K7" i="11"/>
</calcChain>
</file>

<file path=xl/connections.xml><?xml version="1.0" encoding="utf-8"?>
<connections xmlns="http://schemas.openxmlformats.org/spreadsheetml/2006/main">
  <connection id="1" keepAlive="1" name="Query - Table3 (2)" description="Connection to the 'Table3 (2)' query in the workbook." type="5" refreshedVersion="6" background="1" saveData="1">
    <dbPr connection="Provider=Microsoft.Mashup.OleDb.1;Data Source=$Workbook$;Location=Table3 (2);Extended Properties=&quot;&quot;" command="SELECT * FROM [Table3 (2)]"/>
  </connection>
  <connection id="2" keepAlive="1" name="Query - Table3 (3)" description="Connection to the 'Table3 (3)' query in the workbook." type="5" refreshedVersion="6" background="1" saveData="1">
    <dbPr connection="Provider=Microsoft.Mashup.OleDb.1;Data Source=$Workbook$;Location=&quot;Table3 (3)&quot;" command="SELECT * FROM [Table3 (3)]"/>
  </connection>
</connections>
</file>

<file path=xl/sharedStrings.xml><?xml version="1.0" encoding="utf-8"?>
<sst xmlns="http://schemas.openxmlformats.org/spreadsheetml/2006/main" count="13180" uniqueCount="186">
  <si>
    <t>State/UT</t>
  </si>
  <si>
    <t>Andhra Pradesh</t>
  </si>
  <si>
    <t>Arunachal Pradesh</t>
  </si>
  <si>
    <t>Assam</t>
  </si>
  <si>
    <t>Bihar</t>
  </si>
  <si>
    <t>Chhattisgarh</t>
  </si>
  <si>
    <t>Goa</t>
  </si>
  <si>
    <t>Gujarat</t>
  </si>
  <si>
    <t>Haryana</t>
  </si>
  <si>
    <t>Himachal Pradesh</t>
  </si>
  <si>
    <t>Jharkhand</t>
  </si>
  <si>
    <t>Karnataka</t>
  </si>
  <si>
    <t>Kerala</t>
  </si>
  <si>
    <t>Madhya Pradesh</t>
  </si>
  <si>
    <t>Maharashtra</t>
  </si>
  <si>
    <t>Manipur</t>
  </si>
  <si>
    <t>Meghalaya</t>
  </si>
  <si>
    <t>Mizoram</t>
  </si>
  <si>
    <t>Nagaland</t>
  </si>
  <si>
    <t>Odisha</t>
  </si>
  <si>
    <t>Punjab</t>
  </si>
  <si>
    <t>Rajasthan</t>
  </si>
  <si>
    <t>Sikkim</t>
  </si>
  <si>
    <t>Tamil Nadu</t>
  </si>
  <si>
    <t>Telangana</t>
  </si>
  <si>
    <t>Tripura</t>
  </si>
  <si>
    <t>Uttar Pradesh</t>
  </si>
  <si>
    <t>Uttarakhand</t>
  </si>
  <si>
    <t>West Bengal</t>
  </si>
  <si>
    <t>Andaman and Nicobar Islands</t>
  </si>
  <si>
    <t>Chandigarh</t>
  </si>
  <si>
    <t>Dadra and Nagar Haveli and Daman and Diu</t>
  </si>
  <si>
    <t>Delhi</t>
  </si>
  <si>
    <t>Jammu and Kashmir</t>
  </si>
  <si>
    <t>Ladakh</t>
  </si>
  <si>
    <t>Lakshadweep</t>
  </si>
  <si>
    <t>Puducherry</t>
  </si>
  <si>
    <t>Total All India</t>
  </si>
  <si>
    <t>Dowry Deaths</t>
  </si>
  <si>
    <t>Kidnapping &amp; Abduction (Total)</t>
  </si>
  <si>
    <t>Kidnapping &amp; Abduction</t>
  </si>
  <si>
    <t>Kidnapping for Murder</t>
  </si>
  <si>
    <t>Kidnapping for Ransom</t>
  </si>
  <si>
    <t>Kidnapping for Marriage (Total)</t>
  </si>
  <si>
    <t>Kidnapping for Marriage - Women 18+</t>
  </si>
  <si>
    <t>Kidnapping for Marriage - Girls &lt;18</t>
  </si>
  <si>
    <t>Rape - Women 18+</t>
  </si>
  <si>
    <t>Rape - Girls &lt;18</t>
  </si>
  <si>
    <t>Attempt to Rape (Total)</t>
  </si>
  <si>
    <t>Attempt to Rape - Women 18+</t>
  </si>
  <si>
    <t>Attempt to Rape - Girls &lt;18</t>
  </si>
  <si>
    <t>Assault to Outrage Modesty (Total)</t>
  </si>
  <si>
    <t>Assault to Outrage Modesty - Women 18+</t>
  </si>
  <si>
    <t>Assault to Outrage Modesty - Girls &lt; 18</t>
  </si>
  <si>
    <t>Insult to Modesty (Total)</t>
  </si>
  <si>
    <t>Insult to Modesty - Women 18+</t>
  </si>
  <si>
    <t>Insult to Modesty - Girls &lt;18</t>
  </si>
  <si>
    <t>Immoral Traffic (Prevention) Act (Total)</t>
  </si>
  <si>
    <t>Immoral Traffic (Prevention) Act - Detaining Person</t>
  </si>
  <si>
    <t>Immoral Traffic (Prevention) Act - Public Prostitution</t>
  </si>
  <si>
    <t>Immoral Traffic (Prevention) Act - Soliciting</t>
  </si>
  <si>
    <t>Immoral Traffic (Prevention) Act - Other</t>
  </si>
  <si>
    <t>Women-Centric Cyber Crime (Total)</t>
  </si>
  <si>
    <t>Publishing Explicit Material</t>
  </si>
  <si>
    <t>Other Women-Centric Cyber Crime</t>
  </si>
  <si>
    <t>POCSO - Child Rape</t>
  </si>
  <si>
    <t>POCSO - Sexual Assault</t>
  </si>
  <si>
    <t>POCSO - Sexual Harassment</t>
  </si>
  <si>
    <t>POCSO - Child Pornography</t>
  </si>
  <si>
    <t>POCSO - Other Offences</t>
  </si>
  <si>
    <t>POCSO - Unnatural Offences</t>
  </si>
  <si>
    <t>Kidnapping for Procuration - Girls &lt; 18</t>
  </si>
  <si>
    <t>Kidnapping for Importation - Girls &lt; 18</t>
  </si>
  <si>
    <t>Selling of Girls &lt; 18</t>
  </si>
  <si>
    <t>Dowry Prohibition Act</t>
  </si>
  <si>
    <t>Indecent Representation of Women Act</t>
  </si>
  <si>
    <t>Immoral Traffic (Prevention) Act - Procuring Children</t>
  </si>
  <si>
    <t>POCSO (Protection of Children from Sexual Offences Act) (Total)</t>
  </si>
  <si>
    <t>Domestic Violence Act</t>
  </si>
  <si>
    <t>Rape (Total)</t>
  </si>
  <si>
    <t>Buying of Girls &lt; 18</t>
  </si>
  <si>
    <t>Human Trafficking</t>
  </si>
  <si>
    <t>Other Kidnapping Cases</t>
  </si>
  <si>
    <t>Cruelty by Husband/Relatives</t>
  </si>
  <si>
    <t>Attempt to Acid Attack</t>
  </si>
  <si>
    <t>Acid Attack</t>
  </si>
  <si>
    <t>Miscarriage</t>
  </si>
  <si>
    <t>Abetment to Suicide of Women</t>
  </si>
  <si>
    <t>Murder with Rape/Gang Rape</t>
  </si>
  <si>
    <t>Crime Head</t>
  </si>
  <si>
    <t>Cases</t>
  </si>
  <si>
    <t>Crime Category</t>
  </si>
  <si>
    <t>Murder with Rape</t>
  </si>
  <si>
    <t>Dowry Death</t>
  </si>
  <si>
    <t>Abetment to Suicide</t>
  </si>
  <si>
    <t>Domestic Violence</t>
  </si>
  <si>
    <t>Rape</t>
  </si>
  <si>
    <t>Attempt to Rape</t>
  </si>
  <si>
    <t>Insult to Modesty</t>
  </si>
  <si>
    <t>Assault on Women</t>
  </si>
  <si>
    <t>Immoral Traffic</t>
  </si>
  <si>
    <t>Cyber Crime</t>
  </si>
  <si>
    <t>POCSO</t>
  </si>
  <si>
    <t>Indecent Representation</t>
  </si>
  <si>
    <t>Record Level</t>
  </si>
  <si>
    <t>Standalone</t>
  </si>
  <si>
    <t>Total</t>
  </si>
  <si>
    <t>Detail</t>
  </si>
  <si>
    <t>Percentage of Total</t>
  </si>
  <si>
    <t>Reported Cases</t>
  </si>
  <si>
    <t>State/UT Analysis</t>
  </si>
  <si>
    <t>Crime Category Analysis</t>
  </si>
  <si>
    <t>Comparative Analysis</t>
  </si>
  <si>
    <t>KPI Support</t>
  </si>
  <si>
    <t>KPI</t>
  </si>
  <si>
    <t>Result</t>
  </si>
  <si>
    <t>Total Reported Cases</t>
  </si>
  <si>
    <t>States/UTs Analyzed</t>
  </si>
  <si>
    <t>Crime Categories</t>
  </si>
  <si>
    <t>Crime Heads Analyzed</t>
  </si>
  <si>
    <t>Highest Crime Category</t>
  </si>
  <si>
    <t>Highest Crime Head</t>
  </si>
  <si>
    <t>Highest Crime State/UT</t>
  </si>
  <si>
    <t>1,33,676</t>
  </si>
  <si>
    <t>CRIME AGAINST WOMEN - 2023 DATA ANALYSIS</t>
  </si>
  <si>
    <t>State, Crime Category and Crime Head Analysis</t>
  </si>
  <si>
    <t>Source: NCRB / data.gov.in</t>
  </si>
  <si>
    <t xml:space="preserve">Total Reported Cases </t>
  </si>
  <si>
    <t>Top 10 States/UTs</t>
  </si>
  <si>
    <t>Cases by Crime Category</t>
  </si>
  <si>
    <t>Top 10 Crime Heads</t>
  </si>
  <si>
    <t xml:space="preserve"> </t>
  </si>
  <si>
    <t>KEY INSIGHTS &amp; INTERPRETATION</t>
  </si>
  <si>
    <t>Crime Against Women — 2023</t>
  </si>
  <si>
    <t>EXECUTIVE SUMMARY</t>
  </si>
  <si>
    <t>#</t>
  </si>
  <si>
    <t>Finding</t>
  </si>
  <si>
    <t>Evidence</t>
  </si>
  <si>
    <t>Interpretation</t>
  </si>
  <si>
    <t>Highest-reporting State/UT</t>
  </si>
  <si>
    <t>Identifies the State/UT with the highest reported cases</t>
  </si>
  <si>
    <t>Top 5 States/UTs contribution</t>
  </si>
  <si>
    <t>Shows how concentrated reported cases are geographically</t>
  </si>
  <si>
    <t>Identifies the category with the largest reported case count</t>
  </si>
  <si>
    <t>Identifies the most reported individual Crime Head</t>
  </si>
  <si>
    <t>Top 10 Crime Heads contribution</t>
  </si>
  <si>
    <t>Shows concentration among the most reported Crime Heads</t>
  </si>
  <si>
    <t>States/UTs above average</t>
  </si>
  <si>
    <t>Shows how reported cases are distributed relative to the average</t>
  </si>
  <si>
    <t>Key Findings</t>
  </si>
  <si>
    <t>The analysis examines reported crime cases against women across 36 States/Uts and 17 Crime Categories.</t>
  </si>
  <si>
    <t>Cruelty by Husband / Relatives - 1,33,676 Cases</t>
  </si>
  <si>
    <t>14 States / Uts (Uttar Pradesh, Maharashtra, Rajasthan, etc.)</t>
  </si>
  <si>
    <t>Data Interpretation Note</t>
  </si>
  <si>
    <t>Methodology</t>
  </si>
  <si>
    <t>Stage</t>
  </si>
  <si>
    <t>Data Source</t>
  </si>
  <si>
    <t>Data Preparation</t>
  </si>
  <si>
    <t>Data Validation</t>
  </si>
  <si>
    <t>SQL Analysis</t>
  </si>
  <si>
    <t>Excel Analysis</t>
  </si>
  <si>
    <t>Visualization</t>
  </si>
  <si>
    <t>Methods Used</t>
  </si>
  <si>
    <t>NCRB dataset obtained through data.gov.in</t>
  </si>
  <si>
    <t>Data cleaning, normalization and Crime Category classification</t>
  </si>
  <si>
    <t>NULL, duplicate and invalid-value checks</t>
  </si>
  <si>
    <t>Aggregation, filtering, subqueries, CTEs and window functions</t>
  </si>
  <si>
    <t>PivotTables and calculated percentages</t>
  </si>
  <si>
    <t>PivotCharts, slicers and KPI cards</t>
  </si>
  <si>
    <t>Geographic, category and Crime Head comparisons</t>
  </si>
  <si>
    <t>SQL and Excel were used to validate, aggregate, rank and visualize the data to identify geographic and crime-pattern trends.</t>
  </si>
  <si>
    <t>Highest-Reporting Crime Category</t>
  </si>
  <si>
    <t>Highest-Reporting Crime Head</t>
  </si>
  <si>
    <t>Analysis Include</t>
  </si>
  <si>
    <t>Yes</t>
  </si>
  <si>
    <t>Grand Total</t>
  </si>
  <si>
    <t>4,58,285</t>
  </si>
  <si>
    <t>1,34,308</t>
  </si>
  <si>
    <t>Uttar Pradesh -  66,392 Cases</t>
  </si>
  <si>
    <t>Domestic Violence - 1,34,308 Cases</t>
  </si>
  <si>
    <t>Row Labels</t>
  </si>
  <si>
    <t>Crime Head Analysis</t>
  </si>
  <si>
    <t>50.10% (UP, Maharashtra, Rajasthan, West Bengal, MP)</t>
  </si>
  <si>
    <t xml:space="preserve">The dataset contains aggregate Crime Head records marked as "(Total)" alongside corresponding component Crime Heads. </t>
  </si>
  <si>
    <t>Crime Head-level comparisons therefore consider the structure of the source data when interpreting results.</t>
  </si>
  <si>
    <t xml:space="preserve">These records represent hierarchical/related measures and should not automatically be summed together as independent crimes.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</si>
</sst>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4"/>
      <color theme="6" tint="0.79998168889431442"/>
      <name val="Calibri"/>
      <family val="2"/>
      <scheme val="minor"/>
    </font>
    <font>
      <sz val="11"/>
      <color theme="6" tint="0.79998168889431442"/>
      <name val="Calibri"/>
      <family val="2"/>
      <scheme val="minor"/>
    </font>
    <font>
      <b/>
      <sz val="18"/>
      <color theme="6" tint="0.79998168889431442"/>
      <name val="Calibri"/>
      <family val="2"/>
      <scheme val="minor"/>
    </font>
    <font>
      <b/>
      <sz val="14"/>
      <color theme="3" tint="-0.249977111117893"/>
      <name val="Calibri"/>
      <family val="2"/>
      <scheme val="minor"/>
    </font>
    <font>
      <b/>
      <sz val="14"/>
      <color theme="8" tint="-0.249977111117893"/>
      <name val="Calibri"/>
      <family val="2"/>
      <scheme val="minor"/>
    </font>
    <font>
      <b/>
      <sz val="16"/>
      <color theme="2" tint="-0.749992370372631"/>
      <name val="Calibri"/>
      <family val="2"/>
      <scheme val="minor"/>
    </font>
    <font>
      <b/>
      <sz val="16"/>
      <color theme="3" tint="-0.249977111117893"/>
      <name val="Calibri"/>
      <family val="2"/>
      <scheme val="minor"/>
    </font>
    <font>
      <sz val="11"/>
      <color theme="3" tint="-0.249977111117893"/>
      <name val="Calibri"/>
      <family val="2"/>
      <scheme val="minor"/>
    </font>
    <font>
      <b/>
      <sz val="12"/>
      <color theme="1"/>
      <name val="Calibri"/>
      <family val="2"/>
      <scheme val="minor"/>
    </font>
    <font>
      <b/>
      <sz val="14"/>
      <color theme="6" tint="0.79998168889431442"/>
      <name val="Calibri"/>
      <family val="2"/>
      <scheme val="minor"/>
    </font>
    <font>
      <b/>
      <sz val="11"/>
      <color theme="6" tint="0.79998168889431442"/>
      <name val="Calibri"/>
      <family val="2"/>
      <scheme val="minor"/>
    </font>
    <font>
      <sz val="12"/>
      <color theme="1"/>
      <name val="Calibri"/>
      <family val="2"/>
      <scheme val="minor"/>
    </font>
    <font>
      <sz val="14"/>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8" tint="0.79998168889431442"/>
        <bgColor theme="8" tint="0.79998168889431442"/>
      </patternFill>
    </fill>
    <fill>
      <patternFill patternType="solid">
        <fgColor theme="8" tint="0.59999389629810485"/>
        <bgColor theme="8" tint="0.59999389629810485"/>
      </patternFill>
    </fill>
    <fill>
      <patternFill patternType="solid">
        <fgColor theme="3"/>
        <bgColor indexed="64"/>
      </patternFill>
    </fill>
    <fill>
      <patternFill patternType="solid">
        <fgColor theme="8"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8" tint="0.39997558519241921"/>
      </left>
      <right/>
      <top style="thin">
        <color theme="8" tint="0.39997558519241921"/>
      </top>
      <bottom/>
      <diagonal/>
    </border>
    <border>
      <left/>
      <right/>
      <top style="thin">
        <color theme="8" tint="0.39997558519241921"/>
      </top>
      <bottom/>
      <diagonal/>
    </border>
    <border>
      <left style="thin">
        <color theme="8" tint="0.39997558519241921"/>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7">
    <xf numFmtId="0" fontId="0" fillId="0" borderId="0" xfId="0"/>
    <xf numFmtId="0" fontId="0" fillId="36" borderId="10" xfId="0" applyFont="1" applyFill="1" applyBorder="1" applyAlignment="1">
      <alignment horizontal="center" vertical="center"/>
    </xf>
    <xf numFmtId="0" fontId="0" fillId="35" borderId="10" xfId="0" applyFont="1" applyFill="1" applyBorder="1" applyAlignment="1">
      <alignment horizontal="center" vertical="center"/>
    </xf>
    <xf numFmtId="0" fontId="0" fillId="36" borderId="11" xfId="0" applyFont="1" applyFill="1" applyBorder="1" applyAlignment="1">
      <alignment horizontal="center" vertical="center"/>
    </xf>
    <xf numFmtId="0" fontId="0" fillId="35" borderId="11" xfId="0" applyFont="1" applyFill="1" applyBorder="1" applyAlignment="1">
      <alignment horizontal="center" vertical="center"/>
    </xf>
    <xf numFmtId="0" fontId="16" fillId="34" borderId="0" xfId="0" applyFont="1" applyFill="1" applyBorder="1" applyAlignment="1">
      <alignment horizontal="center" vertical="center"/>
    </xf>
    <xf numFmtId="0" fontId="16" fillId="34" borderId="12" xfId="0" applyFont="1" applyFill="1" applyBorder="1" applyAlignment="1">
      <alignment horizontal="center" vertical="center"/>
    </xf>
    <xf numFmtId="0" fontId="16" fillId="33" borderId="11" xfId="0" applyFont="1" applyFill="1" applyBorder="1" applyAlignment="1">
      <alignment horizontal="center" vertical="center"/>
    </xf>
    <xf numFmtId="0" fontId="16" fillId="33" borderId="10" xfId="0" applyFont="1" applyFill="1" applyBorder="1" applyAlignment="1">
      <alignment horizontal="center" vertical="center"/>
    </xf>
    <xf numFmtId="0" fontId="0" fillId="0" borderId="0" xfId="0" applyNumberFormat="1" applyAlignment="1">
      <alignment horizontal="center" vertical="center"/>
    </xf>
    <xf numFmtId="0" fontId="0" fillId="0" borderId="0" xfId="0" applyAlignment="1">
      <alignment horizontal="left"/>
    </xf>
    <xf numFmtId="0" fontId="0" fillId="0" borderId="0" xfId="0" applyAlignment="1">
      <alignment horizontal="center" vertical="center"/>
    </xf>
    <xf numFmtId="0" fontId="0" fillId="0" borderId="0" xfId="0" pivotButton="1" applyAlignment="1">
      <alignment horizontal="left"/>
    </xf>
    <xf numFmtId="0" fontId="0" fillId="0" borderId="0" xfId="0" applyNumberFormat="1" applyAlignment="1">
      <alignment horizontal="left" vertical="center"/>
    </xf>
    <xf numFmtId="0" fontId="0" fillId="0" borderId="0" xfId="0" applyNumberFormat="1" applyAlignment="1">
      <alignment horizontal="left"/>
    </xf>
    <xf numFmtId="10" fontId="0" fillId="0" borderId="0" xfId="0" applyNumberFormat="1" applyAlignment="1">
      <alignment horizontal="left"/>
    </xf>
    <xf numFmtId="0" fontId="18" fillId="0" borderId="0" xfId="0" applyFont="1" applyAlignment="1">
      <alignment horizontal="center"/>
    </xf>
    <xf numFmtId="10" fontId="0" fillId="0" borderId="0" xfId="0" applyNumberFormat="1" applyAlignment="1">
      <alignment horizontal="left" vertical="center"/>
    </xf>
    <xf numFmtId="0" fontId="21" fillId="37" borderId="0" xfId="0" applyFont="1" applyFill="1" applyAlignment="1"/>
    <xf numFmtId="0" fontId="21" fillId="37" borderId="0" xfId="0" applyFont="1" applyFill="1" applyAlignment="1">
      <alignment horizontal="left" indent="1"/>
    </xf>
    <xf numFmtId="0" fontId="19" fillId="37" borderId="0" xfId="0" applyFont="1" applyFill="1" applyAlignment="1">
      <alignment horizontal="left" indent="1"/>
    </xf>
    <xf numFmtId="0" fontId="20" fillId="37" borderId="0" xfId="0" applyFont="1" applyFill="1" applyAlignment="1">
      <alignment horizontal="left" indent="1"/>
    </xf>
    <xf numFmtId="0" fontId="0" fillId="0" borderId="0" xfId="0" applyFill="1" applyBorder="1" applyAlignment="1"/>
    <xf numFmtId="0" fontId="0" fillId="0" borderId="0" xfId="0" applyAlignment="1">
      <alignment horizontal="center"/>
    </xf>
    <xf numFmtId="0" fontId="0" fillId="0" borderId="0" xfId="0" applyAlignment="1">
      <alignment vertical="center"/>
    </xf>
    <xf numFmtId="0" fontId="24" fillId="0" borderId="0" xfId="0" applyFont="1" applyAlignment="1">
      <alignment vertical="top"/>
    </xf>
    <xf numFmtId="0" fontId="0" fillId="0" borderId="0" xfId="0" applyAlignment="1">
      <alignment vertical="top"/>
    </xf>
    <xf numFmtId="0" fontId="25" fillId="0" borderId="0" xfId="0" applyFont="1" applyAlignment="1">
      <alignment horizontal="left" indent="8"/>
    </xf>
    <xf numFmtId="0" fontId="25" fillId="0" borderId="0" xfId="0" applyFont="1" applyAlignment="1">
      <alignment horizontal="left" indent="12"/>
    </xf>
    <xf numFmtId="0" fontId="24" fillId="0" borderId="0" xfId="0" applyFont="1" applyAlignment="1">
      <alignment horizontal="left" indent="8"/>
    </xf>
    <xf numFmtId="0" fontId="25" fillId="0" borderId="0" xfId="0" applyFont="1" applyAlignment="1">
      <alignment horizontal="left" indent="18"/>
    </xf>
    <xf numFmtId="0" fontId="26" fillId="0" borderId="0" xfId="0" applyFont="1" applyAlignment="1">
      <alignment horizontal="left" indent="18"/>
    </xf>
    <xf numFmtId="0" fontId="26" fillId="0" borderId="0" xfId="0" applyFont="1" applyAlignment="1">
      <alignment horizontal="left" vertical="center" indent="12"/>
    </xf>
    <xf numFmtId="0" fontId="0" fillId="0" borderId="0" xfId="0" applyAlignment="1">
      <alignment horizontal="left" vertical="center" indent="6"/>
    </xf>
    <xf numFmtId="0" fontId="28" fillId="37" borderId="0" xfId="0" applyFont="1" applyFill="1" applyAlignment="1">
      <alignment horizontal="left" indent="1"/>
    </xf>
    <xf numFmtId="0" fontId="30" fillId="0" borderId="0" xfId="0" applyFont="1"/>
    <xf numFmtId="0" fontId="18" fillId="0" borderId="0" xfId="0" applyFont="1" applyAlignment="1">
      <alignment horizontal="left" indent="1"/>
    </xf>
    <xf numFmtId="0" fontId="31" fillId="0" borderId="0" xfId="0" applyFont="1" applyAlignment="1">
      <alignment horizontal="left" indent="1"/>
    </xf>
    <xf numFmtId="0" fontId="29" fillId="37" borderId="0" xfId="0" applyFont="1" applyFill="1" applyAlignment="1">
      <alignment horizontal="left" vertical="center" indent="1"/>
    </xf>
    <xf numFmtId="0" fontId="20" fillId="37" borderId="0" xfId="0" applyFont="1" applyFill="1" applyAlignment="1">
      <alignment horizontal="left" vertical="center" indent="1"/>
    </xf>
    <xf numFmtId="0" fontId="30" fillId="0" borderId="0" xfId="0" applyFont="1" applyAlignment="1"/>
    <xf numFmtId="0" fontId="30" fillId="0" borderId="0" xfId="0" applyFont="1" applyAlignment="1">
      <alignment horizontal="left" indent="1"/>
    </xf>
    <xf numFmtId="0" fontId="0" fillId="0" borderId="0" xfId="0" applyBorder="1"/>
    <xf numFmtId="0" fontId="13" fillId="0" borderId="0" xfId="0" applyFont="1" applyFill="1" applyBorder="1"/>
    <xf numFmtId="0" fontId="0" fillId="0" borderId="0" xfId="0" applyFont="1" applyFill="1" applyBorder="1"/>
    <xf numFmtId="0" fontId="27" fillId="0" borderId="0" xfId="0" applyFont="1" applyBorder="1" applyAlignment="1">
      <alignment horizontal="left" vertical="center" wrapText="1" indent="1"/>
    </xf>
    <xf numFmtId="0" fontId="30" fillId="0" borderId="0" xfId="0" applyFont="1" applyAlignment="1">
      <alignment horizontal="left" vertical="center" wrapText="1" indent="1"/>
    </xf>
    <xf numFmtId="0" fontId="27" fillId="0" borderId="0" xfId="0" applyFont="1" applyAlignment="1">
      <alignment horizontal="left" vertical="center" wrapText="1" indent="1"/>
    </xf>
    <xf numFmtId="10" fontId="30" fillId="0" borderId="0" xfId="0" applyNumberFormat="1" applyFont="1" applyAlignment="1">
      <alignment horizontal="left" vertical="center" wrapText="1" indent="1"/>
    </xf>
    <xf numFmtId="0" fontId="0" fillId="0" borderId="0" xfId="0" pivotButton="1"/>
    <xf numFmtId="0" fontId="0" fillId="0" borderId="0" xfId="0" applyNumberFormat="1"/>
    <xf numFmtId="10" fontId="0" fillId="0" borderId="0" xfId="0" applyNumberFormat="1"/>
    <xf numFmtId="0" fontId="18" fillId="0" borderId="0" xfId="0" applyFont="1" applyAlignment="1"/>
    <xf numFmtId="3" fontId="0" fillId="0" borderId="0" xfId="0" applyNumberFormat="1" applyAlignment="1">
      <alignment horizontal="left"/>
    </xf>
    <xf numFmtId="0" fontId="25" fillId="0" borderId="0" xfId="0" applyFont="1" applyAlignment="1">
      <alignment horizontal="left" vertical="center" indent="12"/>
    </xf>
    <xf numFmtId="0" fontId="0" fillId="0" borderId="0" xfId="0" applyAlignment="1">
      <alignment horizontal="left" vertical="center" indent="7"/>
    </xf>
    <xf numFmtId="0" fontId="0" fillId="0" borderId="0" xfId="0" applyAlignment="1" applyProtection="1">
      <alignment vertical="center"/>
      <protection locked="0"/>
    </xf>
    <xf numFmtId="0" fontId="0" fillId="0" borderId="0" xfId="0" pivotButton="1" applyAlignment="1">
      <alignment horizontal="left" vertical="center"/>
    </xf>
    <xf numFmtId="0" fontId="0" fillId="0" borderId="0" xfId="0" applyAlignment="1">
      <alignment horizontal="left" vertical="center"/>
    </xf>
    <xf numFmtId="0" fontId="18" fillId="0" borderId="0" xfId="0" applyFont="1" applyAlignment="1">
      <alignment horizontal="center"/>
    </xf>
    <xf numFmtId="0" fontId="22" fillId="38" borderId="0" xfId="0" applyFont="1" applyFill="1" applyBorder="1" applyAlignment="1">
      <alignment horizontal="center"/>
    </xf>
    <xf numFmtId="0" fontId="23" fillId="38" borderId="0" xfId="0" applyFont="1" applyFill="1" applyBorder="1" applyAlignment="1">
      <alignment horizontal="center" vertical="center"/>
    </xf>
    <xf numFmtId="0" fontId="22" fillId="38" borderId="0" xfId="0" applyFont="1" applyFill="1" applyAlignment="1">
      <alignment horizontal="center"/>
    </xf>
    <xf numFmtId="0" fontId="23" fillId="38" borderId="0" xfId="0" applyFont="1" applyFill="1" applyAlignment="1">
      <alignment horizontal="center" vertical="center"/>
    </xf>
    <xf numFmtId="0" fontId="23" fillId="38" borderId="0" xfId="0" applyFont="1" applyFill="1" applyBorder="1" applyAlignment="1">
      <alignment horizontal="center" vertical="top"/>
    </xf>
    <xf numFmtId="0" fontId="21" fillId="37" borderId="0" xfId="0" applyFont="1" applyFill="1" applyAlignment="1">
      <alignment horizontal="left" indent="1"/>
    </xf>
    <xf numFmtId="3" fontId="23" fillId="38" borderId="0" xfId="0" applyNumberFormat="1" applyFont="1" applyFill="1" applyBorder="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59">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numFmt numFmtId="14"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numFmt numFmtId="14"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numFmt numFmtId="14"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numFmt numFmtId="14"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numFmt numFmtId="14"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numFmt numFmtId="14"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numFmt numFmtId="14"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numFmt numFmtId="14"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numFmt numFmtId="14"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numFmt numFmtId="14"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ont>
        <strike val="0"/>
        <outline val="0"/>
        <shadow val="0"/>
        <u val="none"/>
        <vertAlign val="baseline"/>
        <sz val="12"/>
        <color theme="1"/>
        <name val="Calibri"/>
        <scheme val="minor"/>
      </font>
      <alignment horizontal="left" vertical="center" textRotation="0" wrapText="1" relativeIndent="-1" justifyLastLine="0" shrinkToFit="0" readingOrder="0"/>
    </dxf>
    <dxf>
      <font>
        <strike val="0"/>
        <outline val="0"/>
        <shadow val="0"/>
        <u val="none"/>
        <vertAlign val="baseline"/>
        <sz val="12"/>
        <color theme="1"/>
        <name val="Calibri"/>
        <scheme val="minor"/>
      </font>
      <alignment horizontal="left" vertical="center" textRotation="0" wrapText="1" relativeIndent="-1" justifyLastLine="0" shrinkToFit="0" readingOrder="0"/>
    </dxf>
    <dxf>
      <font>
        <strike val="0"/>
        <outline val="0"/>
        <shadow val="0"/>
        <u val="none"/>
        <vertAlign val="baseline"/>
        <sz val="12"/>
        <color theme="1"/>
        <name val="Calibri"/>
        <scheme val="minor"/>
      </font>
      <alignment horizontal="left" vertical="center" textRotation="0" wrapText="1" relativeIndent="-1" justifyLastLine="0" shrinkToFit="0" readingOrder="0"/>
    </dxf>
    <dxf>
      <font>
        <b/>
        <i val="0"/>
        <strike val="0"/>
        <condense val="0"/>
        <extend val="0"/>
        <outline val="0"/>
        <shadow val="0"/>
        <u val="none"/>
        <vertAlign val="baseline"/>
        <sz val="12"/>
        <color theme="1"/>
        <name val="Calibri"/>
        <scheme val="minor"/>
      </font>
      <alignment horizontal="left" vertical="center" textRotation="0" wrapText="1" relativeIndent="-1" justifyLastLine="0" shrinkToFit="0" readingOrder="0"/>
    </dxf>
    <dxf>
      <font>
        <strike val="0"/>
        <outline val="0"/>
        <shadow val="0"/>
        <u val="none"/>
        <vertAlign val="baseline"/>
        <sz val="12"/>
        <color theme="1"/>
        <name val="Calibri"/>
        <scheme val="minor"/>
      </font>
      <alignment horizontal="left" vertical="center" textRotation="0" wrapText="1" relativeIndent="-1" justifyLastLine="0" shrinkToFit="0" readingOrder="0"/>
    </dxf>
    <dxf>
      <font>
        <strike val="0"/>
        <outline val="0"/>
        <shadow val="0"/>
        <u val="none"/>
        <vertAlign val="baseline"/>
        <sz val="12"/>
        <color theme="1"/>
        <name val="Calibri"/>
        <scheme val="minor"/>
      </font>
      <alignment horizontal="left" vertical="center" textRotation="0" wrapText="1" relativeIndent="-1" justifyLastLine="0" shrinkToFit="0" readingOrder="0"/>
    </dxf>
    <dxf>
      <font>
        <b/>
        <i val="0"/>
        <strike val="0"/>
        <condense val="0"/>
        <extend val="0"/>
        <outline val="0"/>
        <shadow val="0"/>
        <u val="none"/>
        <vertAlign val="baseline"/>
        <sz val="12"/>
        <color theme="1"/>
        <name val="Calibri"/>
        <scheme val="minor"/>
      </font>
      <alignment horizontal="left" vertical="center" textRotation="0" wrapText="1" relativeIndent="-1" justifyLastLine="0" shrinkToFit="0" readingOrder="0"/>
    </dxf>
    <dxf>
      <font>
        <strike val="0"/>
        <outline val="0"/>
        <shadow val="0"/>
        <u val="none"/>
        <vertAlign val="baseline"/>
        <sz val="12"/>
        <color theme="1"/>
        <name val="Calibri"/>
        <scheme val="minor"/>
      </font>
      <alignment horizontal="left" vertical="center" textRotation="0" wrapText="1" relativeIndent="-1" justifyLastLine="0" shrinkToFit="0" readingOrder="0"/>
    </dxf>
    <dxf>
      <font>
        <strike val="0"/>
        <outline val="0"/>
        <shadow val="0"/>
        <u val="none"/>
        <vertAlign val="baseline"/>
        <sz val="12"/>
        <color theme="1"/>
        <name val="Calibri"/>
        <scheme val="minor"/>
      </font>
      <alignment horizontal="left" vertical="center" textRotation="0" wrapText="1" relativeIndent="-1" justifyLastLine="0" shrinkToFit="0" readingOrder="0"/>
    </dxf>
    <dxf>
      <font>
        <b/>
        <i val="0"/>
        <strike val="0"/>
        <condense val="0"/>
        <extend val="0"/>
        <outline val="0"/>
        <shadow val="0"/>
        <u val="none"/>
        <vertAlign val="baseline"/>
        <sz val="12"/>
        <color theme="1"/>
        <name val="Calibri"/>
        <scheme val="minor"/>
      </font>
      <alignment horizontal="left" vertical="center" textRotation="0" wrapText="1" relativeIndent="-1"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4" formatCode="0.0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left style="thin">
          <color theme="8" tint="0.39997558519241921"/>
        </left>
        <right style="thin">
          <color theme="8" tint="0.39997558519241921"/>
        </right>
        <top style="thin">
          <color theme="8" tint="0.39997558519241921"/>
        </top>
        <bottom style="thin">
          <color theme="8" tint="0.39997558519241921"/>
        </bottom>
      </border>
    </dxf>
    <dxf>
      <font>
        <b/>
        <i val="0"/>
        <strike val="0"/>
        <condense val="0"/>
        <extend val="0"/>
        <outline val="0"/>
        <shadow val="0"/>
        <u val="none"/>
        <vertAlign val="baseline"/>
        <sz val="11"/>
        <color theme="1"/>
        <name val="Calibri"/>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theme="8" tint="0.39997558519241921"/>
        </left>
        <right style="thin">
          <color theme="8" tint="0.3999755851924192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[NCRB_Women_Crime_2023.xlsx]Analysis!PivotTable3</c:name>
    <c:fmtId val="1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bar"/>
        <c:grouping val="clustered"/>
        <c:varyColors val="0"/>
        <c:ser>
          <c:idx val="0"/>
          <c:order val="0"/>
          <c:tx>
            <c:strRef>
              <c:f>Analysis!$B$5</c:f>
              <c:strCache>
                <c:ptCount val="1"/>
                <c:pt idx="0">
                  <c:v>Reported Cases</c:v>
                </c:pt>
              </c:strCache>
            </c:strRef>
          </c:tx>
          <c:spPr>
            <a:solidFill>
              <a:schemeClr val="accent1"/>
            </a:solidFill>
            <a:ln>
              <a:noFill/>
            </a:ln>
            <a:effectLst/>
          </c:spPr>
          <c:invertIfNegative val="0"/>
          <c:cat>
            <c:strRef>
              <c:f>Analysis!$A$6:$A$15</c:f>
              <c:strCache>
                <c:ptCount val="10"/>
                <c:pt idx="0">
                  <c:v>Uttar Pradesh</c:v>
                </c:pt>
                <c:pt idx="1">
                  <c:v>Maharashtra</c:v>
                </c:pt>
                <c:pt idx="2">
                  <c:v>Rajasthan</c:v>
                </c:pt>
                <c:pt idx="3">
                  <c:v>West Bengal</c:v>
                </c:pt>
                <c:pt idx="4">
                  <c:v>Madhya Pradesh</c:v>
                </c:pt>
                <c:pt idx="5">
                  <c:v>Odisha</c:v>
                </c:pt>
                <c:pt idx="6">
                  <c:v>Bihar</c:v>
                </c:pt>
                <c:pt idx="7">
                  <c:v>Telangana</c:v>
                </c:pt>
                <c:pt idx="8">
                  <c:v>Andhra Pradesh</c:v>
                </c:pt>
                <c:pt idx="9">
                  <c:v>Karnataka</c:v>
                </c:pt>
              </c:strCache>
            </c:strRef>
          </c:cat>
          <c:val>
            <c:numRef>
              <c:f>Analysis!$B$6:$B$15</c:f>
              <c:numCache>
                <c:formatCode>General</c:formatCode>
                <c:ptCount val="10"/>
                <c:pt idx="0">
                  <c:v>66392</c:v>
                </c:pt>
                <c:pt idx="1">
                  <c:v>47167</c:v>
                </c:pt>
                <c:pt idx="2">
                  <c:v>46887</c:v>
                </c:pt>
                <c:pt idx="3">
                  <c:v>36762</c:v>
                </c:pt>
                <c:pt idx="4">
                  <c:v>32389</c:v>
                </c:pt>
                <c:pt idx="5">
                  <c:v>26052</c:v>
                </c:pt>
                <c:pt idx="6">
                  <c:v>24745</c:v>
                </c:pt>
                <c:pt idx="7">
                  <c:v>23794</c:v>
                </c:pt>
                <c:pt idx="8">
                  <c:v>22470</c:v>
                </c:pt>
                <c:pt idx="9">
                  <c:v>20359</c:v>
                </c:pt>
              </c:numCache>
            </c:numRef>
          </c:val>
          <c:extLst>
            <c:ext xmlns:c16="http://schemas.microsoft.com/office/drawing/2014/chart" uri="{C3380CC4-5D6E-409C-BE32-E72D297353CC}">
              <c16:uniqueId val="{00000004-BD8E-44BD-846E-061C2C03AB6A}"/>
            </c:ext>
          </c:extLst>
        </c:ser>
        <c:ser>
          <c:idx val="1"/>
          <c:order val="1"/>
          <c:tx>
            <c:strRef>
              <c:f>Analysis!$C$5</c:f>
              <c:strCache>
                <c:ptCount val="1"/>
                <c:pt idx="0">
                  <c:v>Percentage of Total</c:v>
                </c:pt>
              </c:strCache>
            </c:strRef>
          </c:tx>
          <c:spPr>
            <a:solidFill>
              <a:schemeClr val="accent2"/>
            </a:solidFill>
            <a:ln>
              <a:noFill/>
            </a:ln>
            <a:effectLst/>
          </c:spPr>
          <c:invertIfNegative val="0"/>
          <c:cat>
            <c:strRef>
              <c:f>Analysis!$A$6:$A$15</c:f>
              <c:strCache>
                <c:ptCount val="10"/>
                <c:pt idx="0">
                  <c:v>Uttar Pradesh</c:v>
                </c:pt>
                <c:pt idx="1">
                  <c:v>Maharashtra</c:v>
                </c:pt>
                <c:pt idx="2">
                  <c:v>Rajasthan</c:v>
                </c:pt>
                <c:pt idx="3">
                  <c:v>West Bengal</c:v>
                </c:pt>
                <c:pt idx="4">
                  <c:v>Madhya Pradesh</c:v>
                </c:pt>
                <c:pt idx="5">
                  <c:v>Odisha</c:v>
                </c:pt>
                <c:pt idx="6">
                  <c:v>Bihar</c:v>
                </c:pt>
                <c:pt idx="7">
                  <c:v>Telangana</c:v>
                </c:pt>
                <c:pt idx="8">
                  <c:v>Andhra Pradesh</c:v>
                </c:pt>
                <c:pt idx="9">
                  <c:v>Karnataka</c:v>
                </c:pt>
              </c:strCache>
            </c:strRef>
          </c:cat>
          <c:val>
            <c:numRef>
              <c:f>Analysis!$C$6:$C$15</c:f>
              <c:numCache>
                <c:formatCode>0.00%</c:formatCode>
                <c:ptCount val="10"/>
                <c:pt idx="0">
                  <c:v>0.1913220389779175</c:v>
                </c:pt>
                <c:pt idx="1">
                  <c:v>0.1359212949221508</c:v>
                </c:pt>
                <c:pt idx="2">
                  <c:v>0.13511441802562987</c:v>
                </c:pt>
                <c:pt idx="3">
                  <c:v>0.10593717310679304</c:v>
                </c:pt>
                <c:pt idx="4">
                  <c:v>9.3335485005057395E-2</c:v>
                </c:pt>
                <c:pt idx="5">
                  <c:v>7.5074131814867856E-2</c:v>
                </c:pt>
                <c:pt idx="6">
                  <c:v>7.1307745730036287E-2</c:v>
                </c:pt>
                <c:pt idx="7">
                  <c:v>6.8567245985067013E-2</c:v>
                </c:pt>
                <c:pt idx="8">
                  <c:v>6.4751870945803813E-2</c:v>
                </c:pt>
                <c:pt idx="9">
                  <c:v>5.8668595486676446E-2</c:v>
                </c:pt>
              </c:numCache>
            </c:numRef>
          </c:val>
          <c:extLst>
            <c:ext xmlns:c16="http://schemas.microsoft.com/office/drawing/2014/chart" uri="{C3380CC4-5D6E-409C-BE32-E72D297353CC}">
              <c16:uniqueId val="{00000005-BD8E-44BD-846E-061C2C03AB6A}"/>
            </c:ext>
          </c:extLst>
        </c:ser>
        <c:dLbls>
          <c:showLegendKey val="0"/>
          <c:showVal val="0"/>
          <c:showCatName val="0"/>
          <c:showSerName val="0"/>
          <c:showPercent val="0"/>
          <c:showBubbleSize val="0"/>
        </c:dLbls>
        <c:gapWidth val="182"/>
        <c:axId val="123940848"/>
        <c:axId val="123934608"/>
      </c:barChart>
      <c:catAx>
        <c:axId val="1239408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34608"/>
        <c:crosses val="autoZero"/>
        <c:auto val="1"/>
        <c:lblAlgn val="ctr"/>
        <c:lblOffset val="100"/>
        <c:noMultiLvlLbl val="0"/>
      </c:catAx>
      <c:valAx>
        <c:axId val="12393460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40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[NCRB_Women_Crime_2023.xlsx]Analysis!PivotTable4</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manualLayout>
          <c:layoutTarget val="inner"/>
          <c:xMode val="edge"/>
          <c:yMode val="edge"/>
          <c:x val="0.44606365828636901"/>
          <c:y val="0.13424923447069118"/>
          <c:w val="0.48247674106096217"/>
          <c:h val="0.80209335812190141"/>
        </c:manualLayout>
      </c:layout>
      <c:barChart>
        <c:barDir val="bar"/>
        <c:grouping val="clustered"/>
        <c:varyColors val="0"/>
        <c:ser>
          <c:idx val="0"/>
          <c:order val="0"/>
          <c:tx>
            <c:strRef>
              <c:f>Analysis!$F$5</c:f>
              <c:strCache>
                <c:ptCount val="1"/>
                <c:pt idx="0">
                  <c:v>Reported Cases</c:v>
                </c:pt>
              </c:strCache>
            </c:strRef>
          </c:tx>
          <c:spPr>
            <a:solidFill>
              <a:schemeClr val="accent1"/>
            </a:solidFill>
            <a:ln>
              <a:noFill/>
            </a:ln>
            <a:effectLst/>
          </c:spPr>
          <c:invertIfNegative val="0"/>
          <c:cat>
            <c:strRef>
              <c:f>Analysis!$E$6:$E$22</c:f>
              <c:strCache>
                <c:ptCount val="17"/>
                <c:pt idx="0">
                  <c:v>Domestic Violence</c:v>
                </c:pt>
                <c:pt idx="1">
                  <c:v>Kidnapping &amp; Abduction</c:v>
                </c:pt>
                <c:pt idx="2">
                  <c:v>Assault on Women</c:v>
                </c:pt>
                <c:pt idx="3">
                  <c:v>POCSO</c:v>
                </c:pt>
                <c:pt idx="4">
                  <c:v>Rape</c:v>
                </c:pt>
                <c:pt idx="5">
                  <c:v>Dowry Prohibition Act</c:v>
                </c:pt>
                <c:pt idx="6">
                  <c:v>Insult to Modesty</c:v>
                </c:pt>
                <c:pt idx="7">
                  <c:v>Dowry Death</c:v>
                </c:pt>
                <c:pt idx="8">
                  <c:v>Abetment to Suicide</c:v>
                </c:pt>
                <c:pt idx="9">
                  <c:v>Cyber Crime</c:v>
                </c:pt>
                <c:pt idx="10">
                  <c:v>Attempt to Rape</c:v>
                </c:pt>
                <c:pt idx="11">
                  <c:v>Immoral Traffic</c:v>
                </c:pt>
                <c:pt idx="12">
                  <c:v>Human Trafficking</c:v>
                </c:pt>
                <c:pt idx="13">
                  <c:v>Miscarriage</c:v>
                </c:pt>
                <c:pt idx="14">
                  <c:v>Murder with Rape</c:v>
                </c:pt>
                <c:pt idx="15">
                  <c:v>Acid Attack</c:v>
                </c:pt>
                <c:pt idx="16">
                  <c:v>Indecent Representation</c:v>
                </c:pt>
              </c:strCache>
            </c:strRef>
          </c:cat>
          <c:val>
            <c:numRef>
              <c:f>Analysis!$F$6:$F$22</c:f>
              <c:numCache>
                <c:formatCode>General</c:formatCode>
                <c:ptCount val="17"/>
                <c:pt idx="0">
                  <c:v>134308</c:v>
                </c:pt>
                <c:pt idx="1">
                  <c:v>98679</c:v>
                </c:pt>
                <c:pt idx="2">
                  <c:v>83891</c:v>
                </c:pt>
                <c:pt idx="3">
                  <c:v>66232</c:v>
                </c:pt>
                <c:pt idx="4">
                  <c:v>29670</c:v>
                </c:pt>
                <c:pt idx="5">
                  <c:v>15489</c:v>
                </c:pt>
                <c:pt idx="6">
                  <c:v>8823</c:v>
                </c:pt>
                <c:pt idx="7">
                  <c:v>6156</c:v>
                </c:pt>
                <c:pt idx="8">
                  <c:v>4825</c:v>
                </c:pt>
                <c:pt idx="9">
                  <c:v>3678</c:v>
                </c:pt>
                <c:pt idx="10">
                  <c:v>2796</c:v>
                </c:pt>
                <c:pt idx="11">
                  <c:v>1788</c:v>
                </c:pt>
                <c:pt idx="12">
                  <c:v>1226</c:v>
                </c:pt>
                <c:pt idx="13">
                  <c:v>309</c:v>
                </c:pt>
                <c:pt idx="14">
                  <c:v>230</c:v>
                </c:pt>
                <c:pt idx="15">
                  <c:v>154</c:v>
                </c:pt>
                <c:pt idx="16">
                  <c:v>31</c:v>
                </c:pt>
              </c:numCache>
            </c:numRef>
          </c:val>
          <c:extLst>
            <c:ext xmlns:c16="http://schemas.microsoft.com/office/drawing/2014/chart" uri="{C3380CC4-5D6E-409C-BE32-E72D297353CC}">
              <c16:uniqueId val="{00000004-5B1A-4F37-91B2-DF89E104120E}"/>
            </c:ext>
          </c:extLst>
        </c:ser>
        <c:ser>
          <c:idx val="1"/>
          <c:order val="1"/>
          <c:tx>
            <c:strRef>
              <c:f>Analysis!$G$5</c:f>
              <c:strCache>
                <c:ptCount val="1"/>
                <c:pt idx="0">
                  <c:v>Percentage of Total</c:v>
                </c:pt>
              </c:strCache>
            </c:strRef>
          </c:tx>
          <c:spPr>
            <a:solidFill>
              <a:schemeClr val="accent2"/>
            </a:solidFill>
            <a:ln>
              <a:noFill/>
            </a:ln>
            <a:effectLst/>
          </c:spPr>
          <c:invertIfNegative val="0"/>
          <c:cat>
            <c:strRef>
              <c:f>Analysis!$E$6:$E$22</c:f>
              <c:strCache>
                <c:ptCount val="17"/>
                <c:pt idx="0">
                  <c:v>Domestic Violence</c:v>
                </c:pt>
                <c:pt idx="1">
                  <c:v>Kidnapping &amp; Abduction</c:v>
                </c:pt>
                <c:pt idx="2">
                  <c:v>Assault on Women</c:v>
                </c:pt>
                <c:pt idx="3">
                  <c:v>POCSO</c:v>
                </c:pt>
                <c:pt idx="4">
                  <c:v>Rape</c:v>
                </c:pt>
                <c:pt idx="5">
                  <c:v>Dowry Prohibition Act</c:v>
                </c:pt>
                <c:pt idx="6">
                  <c:v>Insult to Modesty</c:v>
                </c:pt>
                <c:pt idx="7">
                  <c:v>Dowry Death</c:v>
                </c:pt>
                <c:pt idx="8">
                  <c:v>Abetment to Suicide</c:v>
                </c:pt>
                <c:pt idx="9">
                  <c:v>Cyber Crime</c:v>
                </c:pt>
                <c:pt idx="10">
                  <c:v>Attempt to Rape</c:v>
                </c:pt>
                <c:pt idx="11">
                  <c:v>Immoral Traffic</c:v>
                </c:pt>
                <c:pt idx="12">
                  <c:v>Human Trafficking</c:v>
                </c:pt>
                <c:pt idx="13">
                  <c:v>Miscarriage</c:v>
                </c:pt>
                <c:pt idx="14">
                  <c:v>Murder with Rape</c:v>
                </c:pt>
                <c:pt idx="15">
                  <c:v>Acid Attack</c:v>
                </c:pt>
                <c:pt idx="16">
                  <c:v>Indecent Representation</c:v>
                </c:pt>
              </c:strCache>
            </c:strRef>
          </c:cat>
          <c:val>
            <c:numRef>
              <c:f>Analysis!$G$6:$G$22</c:f>
              <c:numCache>
                <c:formatCode>0.00%</c:formatCode>
                <c:ptCount val="17"/>
                <c:pt idx="0">
                  <c:v>0.29306654156256479</c:v>
                </c:pt>
                <c:pt idx="1">
                  <c:v>0.21532234308345244</c:v>
                </c:pt>
                <c:pt idx="2">
                  <c:v>0.18305421298973346</c:v>
                </c:pt>
                <c:pt idx="3">
                  <c:v>0.14452142225907461</c:v>
                </c:pt>
                <c:pt idx="4">
                  <c:v>6.4741372726578442E-2</c:v>
                </c:pt>
                <c:pt idx="5">
                  <c:v>3.3797745944117746E-2</c:v>
                </c:pt>
                <c:pt idx="6">
                  <c:v>1.9252212051452697E-2</c:v>
                </c:pt>
                <c:pt idx="7">
                  <c:v>1.3432689265413444E-2</c:v>
                </c:pt>
                <c:pt idx="8">
                  <c:v>1.0528382993115638E-2</c:v>
                </c:pt>
                <c:pt idx="9">
                  <c:v>8.0255736059439003E-3</c:v>
                </c:pt>
                <c:pt idx="10">
                  <c:v>6.1010070152852482E-3</c:v>
                </c:pt>
                <c:pt idx="11">
                  <c:v>3.9015023402467898E-3</c:v>
                </c:pt>
                <c:pt idx="12">
                  <c:v>2.6751912019812997E-3</c:v>
                </c:pt>
                <c:pt idx="13">
                  <c:v>6.7425292121714659E-4</c:v>
                </c:pt>
                <c:pt idx="14">
                  <c:v>5.0187110640758476E-4</c:v>
                </c:pt>
                <c:pt idx="15">
                  <c:v>3.3603543646420895E-4</c:v>
                </c:pt>
                <c:pt idx="16">
                  <c:v>6.7643496950587522E-5</c:v>
                </c:pt>
              </c:numCache>
            </c:numRef>
          </c:val>
          <c:extLst>
            <c:ext xmlns:c16="http://schemas.microsoft.com/office/drawing/2014/chart" uri="{C3380CC4-5D6E-409C-BE32-E72D297353CC}">
              <c16:uniqueId val="{00000005-5B1A-4F37-91B2-DF89E104120E}"/>
            </c:ext>
          </c:extLst>
        </c:ser>
        <c:dLbls>
          <c:showLegendKey val="0"/>
          <c:showVal val="0"/>
          <c:showCatName val="0"/>
          <c:showSerName val="0"/>
          <c:showPercent val="0"/>
          <c:showBubbleSize val="0"/>
        </c:dLbls>
        <c:gapWidth val="182"/>
        <c:axId val="6491663"/>
        <c:axId val="6483343"/>
      </c:barChart>
      <c:catAx>
        <c:axId val="64916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3343"/>
        <c:crosses val="autoZero"/>
        <c:auto val="1"/>
        <c:lblAlgn val="ctr"/>
        <c:lblOffset val="100"/>
        <c:noMultiLvlLbl val="0"/>
      </c:catAx>
      <c:valAx>
        <c:axId val="6483343"/>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16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[NCRB_Women_Crime_2023.xlsx]Analysis!PivotTable1</c:name>
    <c:fmtId val="1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Analysis!$J$5</c:f>
              <c:strCache>
                <c:ptCount val="1"/>
                <c:pt idx="0">
                  <c:v>Reported Cases</c:v>
                </c:pt>
              </c:strCache>
            </c:strRef>
          </c:tx>
          <c:spPr>
            <a:solidFill>
              <a:schemeClr val="accent1"/>
            </a:solidFill>
            <a:ln>
              <a:noFill/>
            </a:ln>
            <a:effectLst/>
          </c:spPr>
          <c:invertIfNegative val="0"/>
          <c:cat>
            <c:strRef>
              <c:f>Analysis!$I$6:$I$15</c:f>
              <c:strCache>
                <c:ptCount val="10"/>
                <c:pt idx="0">
                  <c:v>Cruelty by Husband/Relatives</c:v>
                </c:pt>
                <c:pt idx="1">
                  <c:v>Kidnapping &amp; Abduction (Total)</c:v>
                </c:pt>
                <c:pt idx="2">
                  <c:v>Assault to Outrage Modesty (Total)</c:v>
                </c:pt>
                <c:pt idx="3">
                  <c:v>POCSO (Protection of Children from Sexual Offences Act) (Total)</c:v>
                </c:pt>
                <c:pt idx="4">
                  <c:v>Rape (Total)</c:v>
                </c:pt>
                <c:pt idx="5">
                  <c:v>Dowry Prohibition Act</c:v>
                </c:pt>
                <c:pt idx="6">
                  <c:v>Insult to Modesty (Total)</c:v>
                </c:pt>
                <c:pt idx="7">
                  <c:v>Other Kidnapping Cases</c:v>
                </c:pt>
                <c:pt idx="8">
                  <c:v>Dowry Deaths</c:v>
                </c:pt>
                <c:pt idx="9">
                  <c:v>Abetment to Suicide of Women</c:v>
                </c:pt>
              </c:strCache>
            </c:strRef>
          </c:cat>
          <c:val>
            <c:numRef>
              <c:f>Analysis!$J$6:$J$15</c:f>
              <c:numCache>
                <c:formatCode>General</c:formatCode>
                <c:ptCount val="10"/>
                <c:pt idx="0">
                  <c:v>133676</c:v>
                </c:pt>
                <c:pt idx="1">
                  <c:v>88605</c:v>
                </c:pt>
                <c:pt idx="2">
                  <c:v>83891</c:v>
                </c:pt>
                <c:pt idx="3">
                  <c:v>66232</c:v>
                </c:pt>
                <c:pt idx="4">
                  <c:v>29670</c:v>
                </c:pt>
                <c:pt idx="5">
                  <c:v>15489</c:v>
                </c:pt>
                <c:pt idx="6">
                  <c:v>8823</c:v>
                </c:pt>
                <c:pt idx="7">
                  <c:v>8214</c:v>
                </c:pt>
                <c:pt idx="8">
                  <c:v>6156</c:v>
                </c:pt>
                <c:pt idx="9">
                  <c:v>4825</c:v>
                </c:pt>
              </c:numCache>
            </c:numRef>
          </c:val>
          <c:extLst>
            <c:ext xmlns:c16="http://schemas.microsoft.com/office/drawing/2014/chart" uri="{C3380CC4-5D6E-409C-BE32-E72D297353CC}">
              <c16:uniqueId val="{00000006-34A0-43A9-8464-8A24560E49D4}"/>
            </c:ext>
          </c:extLst>
        </c:ser>
        <c:ser>
          <c:idx val="1"/>
          <c:order val="1"/>
          <c:tx>
            <c:strRef>
              <c:f>Analysis!$K$5</c:f>
              <c:strCache>
                <c:ptCount val="1"/>
                <c:pt idx="0">
                  <c:v>Percentage of Total</c:v>
                </c:pt>
              </c:strCache>
            </c:strRef>
          </c:tx>
          <c:spPr>
            <a:solidFill>
              <a:schemeClr val="accent2"/>
            </a:solidFill>
            <a:ln>
              <a:noFill/>
            </a:ln>
            <a:effectLst/>
          </c:spPr>
          <c:invertIfNegative val="0"/>
          <c:cat>
            <c:strRef>
              <c:f>Analysis!$I$6:$I$15</c:f>
              <c:strCache>
                <c:ptCount val="10"/>
                <c:pt idx="0">
                  <c:v>Cruelty by Husband/Relatives</c:v>
                </c:pt>
                <c:pt idx="1">
                  <c:v>Kidnapping &amp; Abduction (Total)</c:v>
                </c:pt>
                <c:pt idx="2">
                  <c:v>Assault to Outrage Modesty (Total)</c:v>
                </c:pt>
                <c:pt idx="3">
                  <c:v>POCSO (Protection of Children from Sexual Offences Act) (Total)</c:v>
                </c:pt>
                <c:pt idx="4">
                  <c:v>Rape (Total)</c:v>
                </c:pt>
                <c:pt idx="5">
                  <c:v>Dowry Prohibition Act</c:v>
                </c:pt>
                <c:pt idx="6">
                  <c:v>Insult to Modesty (Total)</c:v>
                </c:pt>
                <c:pt idx="7">
                  <c:v>Other Kidnapping Cases</c:v>
                </c:pt>
                <c:pt idx="8">
                  <c:v>Dowry Deaths</c:v>
                </c:pt>
                <c:pt idx="9">
                  <c:v>Abetment to Suicide of Women</c:v>
                </c:pt>
              </c:strCache>
            </c:strRef>
          </c:cat>
          <c:val>
            <c:numRef>
              <c:f>Analysis!$K$6:$K$15</c:f>
              <c:numCache>
                <c:formatCode>0.00%</c:formatCode>
                <c:ptCount val="10"/>
                <c:pt idx="0">
                  <c:v>0.30000381524346864</c:v>
                </c:pt>
                <c:pt idx="1">
                  <c:v>0.19885273384637137</c:v>
                </c:pt>
                <c:pt idx="2">
                  <c:v>0.18827328813391953</c:v>
                </c:pt>
                <c:pt idx="3">
                  <c:v>0.14864188553820742</c:v>
                </c:pt>
                <c:pt idx="4">
                  <c:v>6.6587219832084404E-2</c:v>
                </c:pt>
                <c:pt idx="5">
                  <c:v>3.4761356521036582E-2</c:v>
                </c:pt>
                <c:pt idx="6">
                  <c:v>1.9801113602240669E-2</c:v>
                </c:pt>
                <c:pt idx="7">
                  <c:v>1.8434358736122054E-2</c:v>
                </c:pt>
                <c:pt idx="8">
                  <c:v>1.3815669878203964E-2</c:v>
                </c:pt>
                <c:pt idx="9">
                  <c:v>1.0828558668345374E-2</c:v>
                </c:pt>
              </c:numCache>
            </c:numRef>
          </c:val>
          <c:extLst>
            <c:ext xmlns:c16="http://schemas.microsoft.com/office/drawing/2014/chart" uri="{C3380CC4-5D6E-409C-BE32-E72D297353CC}">
              <c16:uniqueId val="{00000007-34A0-43A9-8464-8A24560E49D4}"/>
            </c:ext>
          </c:extLst>
        </c:ser>
        <c:dLbls>
          <c:showLegendKey val="0"/>
          <c:showVal val="0"/>
          <c:showCatName val="0"/>
          <c:showSerName val="0"/>
          <c:showPercent val="0"/>
          <c:showBubbleSize val="0"/>
        </c:dLbls>
        <c:gapWidth val="182"/>
        <c:axId val="494057104"/>
        <c:axId val="494069168"/>
      </c:barChart>
      <c:catAx>
        <c:axId val="4940571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069168"/>
        <c:crosses val="autoZero"/>
        <c:auto val="1"/>
        <c:lblAlgn val="ctr"/>
        <c:lblOffset val="100"/>
        <c:noMultiLvlLbl val="0"/>
      </c:catAx>
      <c:valAx>
        <c:axId val="49406916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057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15240</xdr:colOff>
      <xdr:row>18</xdr:row>
      <xdr:rowOff>1</xdr:rowOff>
    </xdr:from>
    <xdr:to>
      <xdr:col>4</xdr:col>
      <xdr:colOff>563880</xdr:colOff>
      <xdr:row>27</xdr:row>
      <xdr:rowOff>76200</xdr:rowOff>
    </xdr:to>
    <mc:AlternateContent xmlns:mc="http://schemas.openxmlformats.org/markup-compatibility/2006" xmlns:a14="http://schemas.microsoft.com/office/drawing/2010/main">
      <mc:Choice Requires="a14">
        <xdr:graphicFrame macro="">
          <xdr:nvGraphicFramePr>
            <xdr:cNvPr id="3" name="State/UT"/>
            <xdr:cNvGraphicFramePr/>
          </xdr:nvGraphicFramePr>
          <xdr:xfrm>
            <a:off x="0" y="0"/>
            <a:ext cx="0" cy="0"/>
          </xdr:xfrm>
          <a:graphic>
            <a:graphicData uri="http://schemas.microsoft.com/office/drawing/2010/slicer">
              <sle:slicer xmlns:sle="http://schemas.microsoft.com/office/drawing/2010/slicer" name="State/UT"/>
            </a:graphicData>
          </a:graphic>
        </xdr:graphicFrame>
      </mc:Choice>
      <mc:Fallback xmlns="">
        <xdr:sp macro="" textlink="">
          <xdr:nvSpPr>
            <xdr:cNvPr id="0" name=""/>
            <xdr:cNvSpPr>
              <a:spLocks noTextEdit="1"/>
            </xdr:cNvSpPr>
          </xdr:nvSpPr>
          <xdr:spPr>
            <a:xfrm>
              <a:off x="15240" y="3360421"/>
              <a:ext cx="2987040" cy="1722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228600</xdr:colOff>
      <xdr:row>18</xdr:row>
      <xdr:rowOff>1</xdr:rowOff>
    </xdr:from>
    <xdr:to>
      <xdr:col>8</xdr:col>
      <xdr:colOff>335280</xdr:colOff>
      <xdr:row>27</xdr:row>
      <xdr:rowOff>68580</xdr:rowOff>
    </xdr:to>
    <mc:AlternateContent xmlns:mc="http://schemas.openxmlformats.org/markup-compatibility/2006" xmlns:a14="http://schemas.microsoft.com/office/drawing/2010/main">
      <mc:Choice Requires="a14">
        <xdr:graphicFrame macro="">
          <xdr:nvGraphicFramePr>
            <xdr:cNvPr id="4" name="Crime Category"/>
            <xdr:cNvGraphicFramePr/>
          </xdr:nvGraphicFramePr>
          <xdr:xfrm>
            <a:off x="0" y="0"/>
            <a:ext cx="0" cy="0"/>
          </xdr:xfrm>
          <a:graphic>
            <a:graphicData uri="http://schemas.microsoft.com/office/drawing/2010/slicer">
              <sle:slicer xmlns:sle="http://schemas.microsoft.com/office/drawing/2010/slicer" name="Crime Category"/>
            </a:graphicData>
          </a:graphic>
        </xdr:graphicFrame>
      </mc:Choice>
      <mc:Fallback xmlns="">
        <xdr:sp macro="" textlink="">
          <xdr:nvSpPr>
            <xdr:cNvPr id="0" name=""/>
            <xdr:cNvSpPr>
              <a:spLocks noTextEdit="1"/>
            </xdr:cNvSpPr>
          </xdr:nvSpPr>
          <xdr:spPr>
            <a:xfrm>
              <a:off x="3276600" y="3360421"/>
              <a:ext cx="1935480"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31</xdr:row>
      <xdr:rowOff>53340</xdr:rowOff>
    </xdr:from>
    <xdr:to>
      <xdr:col>5</xdr:col>
      <xdr:colOff>160020</xdr:colOff>
      <xdr:row>43</xdr:row>
      <xdr:rowOff>41910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403860</xdr:colOff>
      <xdr:row>31</xdr:row>
      <xdr:rowOff>45720</xdr:rowOff>
    </xdr:from>
    <xdr:to>
      <xdr:col>12</xdr:col>
      <xdr:colOff>243840</xdr:colOff>
      <xdr:row>43</xdr:row>
      <xdr:rowOff>45720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228600</xdr:colOff>
      <xdr:row>31</xdr:row>
      <xdr:rowOff>45720</xdr:rowOff>
    </xdr:from>
    <xdr:to>
      <xdr:col>21</xdr:col>
      <xdr:colOff>190500</xdr:colOff>
      <xdr:row>43</xdr:row>
      <xdr:rowOff>38100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83820</xdr:colOff>
      <xdr:row>18</xdr:row>
      <xdr:rowOff>15240</xdr:rowOff>
    </xdr:from>
    <xdr:to>
      <xdr:col>15</xdr:col>
      <xdr:colOff>563880</xdr:colOff>
      <xdr:row>27</xdr:row>
      <xdr:rowOff>68580</xdr:rowOff>
    </xdr:to>
    <mc:AlternateContent xmlns:mc="http://schemas.openxmlformats.org/markup-compatibility/2006" xmlns:a14="http://schemas.microsoft.com/office/drawing/2010/main">
      <mc:Choice Requires="a14">
        <xdr:graphicFrame macro="">
          <xdr:nvGraphicFramePr>
            <xdr:cNvPr id="10" name="Crime Head"/>
            <xdr:cNvGraphicFramePr/>
          </xdr:nvGraphicFramePr>
          <xdr:xfrm>
            <a:off x="0" y="0"/>
            <a:ext cx="0" cy="0"/>
          </xdr:xfrm>
          <a:graphic>
            <a:graphicData uri="http://schemas.microsoft.com/office/drawing/2010/slicer">
              <sle:slicer xmlns:sle="http://schemas.microsoft.com/office/drawing/2010/slicer" name="Crime Head"/>
            </a:graphicData>
          </a:graphic>
        </xdr:graphicFrame>
      </mc:Choice>
      <mc:Fallback xmlns="">
        <xdr:sp macro="" textlink="">
          <xdr:nvSpPr>
            <xdr:cNvPr id="0" name=""/>
            <xdr:cNvSpPr>
              <a:spLocks noTextEdit="1"/>
            </xdr:cNvSpPr>
          </xdr:nvSpPr>
          <xdr:spPr>
            <a:xfrm>
              <a:off x="5570220" y="3375660"/>
              <a:ext cx="4137660" cy="1699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82.722794444446" createdVersion="6" refreshedVersion="6" minRefreshableVersion="3" recordCount="1836">
  <cacheSource type="worksheet">
    <worksheetSource name="Table3__23"/>
  </cacheSource>
  <cacheFields count="6">
    <cacheField name="State/UT" numFmtId="0">
      <sharedItems count="36">
        <s v="Andhra Pradesh"/>
        <s v="Arunachal Pradesh"/>
        <s v="Assam"/>
        <s v="Bihar"/>
        <s v="Chhattisgarh"/>
        <s v="Goa"/>
        <s v="Gujarat"/>
        <s v="Haryana"/>
        <s v="Himachal Pradesh"/>
        <s v="Jharkhand"/>
        <s v="Karnataka"/>
        <s v="Kerala"/>
        <s v="Madhya Pradesh"/>
        <s v="Maharashtra"/>
        <s v="Manipur"/>
        <s v="Meghalaya"/>
        <s v="Mizoram"/>
        <s v="Nagaland"/>
        <s v="Odisha"/>
        <s v="Punjab"/>
        <s v="Rajasthan"/>
        <s v="Sikkim"/>
        <s v="Tamil Nadu"/>
        <s v="Telangana"/>
        <s v="Tripura"/>
        <s v="Uttar Pradesh"/>
        <s v="Uttarakhand"/>
        <s v="West Bengal"/>
        <s v="Andaman and Nicobar Islands"/>
        <s v="Chandigarh"/>
        <s v="Dadra and Nagar Haveli and Daman and Diu"/>
        <s v="Delhi"/>
        <s v="Jammu and Kashmir"/>
        <s v="Ladakh"/>
        <s v="Lakshadweep"/>
        <s v="Puducherry"/>
      </sharedItems>
    </cacheField>
    <cacheField name="Crime Head" numFmtId="0">
      <sharedItems count="51">
        <s v="Murder with Rape/Gang Rape"/>
        <s v="Dowry Deaths"/>
        <s v="Abetment to Suicide of Women"/>
        <s v="Miscarriage"/>
        <s v="Acid Attack"/>
        <s v="Attempt to Acid Attack"/>
        <s v="Cruelty by Husband/Relatives"/>
        <s v="Kidnapping &amp; Abduction (Total)"/>
        <s v="Kidnapping &amp; Abduction"/>
        <s v="Kidnapping for Murder"/>
        <s v="Kidnapping for Ransom"/>
        <s v="Kidnapping for Marriage (Total)"/>
        <s v="Kidnapping for Marriage - Women 18+"/>
        <s v="Kidnapping for Marriage - Girls &lt;18"/>
        <s v="Kidnapping for Procuration - Girls &lt; 18"/>
        <s v="Kidnapping for Importation - Girls &lt; 18"/>
        <s v="Other Kidnapping Cases"/>
        <s v="Human Trafficking"/>
        <s v="Selling of Girls &lt; 18"/>
        <s v="Buying of Girls &lt; 18"/>
        <s v="Rape (Total)"/>
        <s v="Rape - Women 18+"/>
        <s v="Rape - Girls &lt;18"/>
        <s v="Attempt to Rape (Total)"/>
        <s v="Attempt to Rape - Women 18+"/>
        <s v="Attempt to Rape - Girls &lt;18"/>
        <s v="Assault to Outrage Modesty (Total)"/>
        <s v="Assault to Outrage Modesty - Women 18+"/>
        <s v="Assault to Outrage Modesty - Girls &lt; 18"/>
        <s v="Insult to Modesty (Total)"/>
        <s v="Insult to Modesty - Women 18+"/>
        <s v="Insult to Modesty - Girls &lt;18"/>
        <s v="Dowry Prohibition Act"/>
        <s v="Immoral Traffic (Prevention) Act (Total)"/>
        <s v="Immoral Traffic (Prevention) Act - Procuring Children"/>
        <s v="Immoral Traffic (Prevention) Act - Detaining Person"/>
        <s v="Immoral Traffic (Prevention) Act - Public Prostitution"/>
        <s v="Immoral Traffic (Prevention) Act - Soliciting"/>
        <s v="Immoral Traffic (Prevention) Act - Other"/>
        <s v="Domestic Violence Act"/>
        <s v="Women-Centric Cyber Crime (Total)"/>
        <s v="Publishing Explicit Material"/>
        <s v="Other Women-Centric Cyber Crime"/>
        <s v="POCSO (Protection of Children from Sexual Offences Act) (Total)"/>
        <s v="POCSO - Child Rape"/>
        <s v="POCSO - Sexual Assault"/>
        <s v="POCSO - Sexual Harassment"/>
        <s v="POCSO - Child Pornography"/>
        <s v="POCSO - Other Offences"/>
        <s v="POCSO - Unnatural Offences"/>
        <s v="Indecent Representation of Women Act"/>
      </sharedItems>
    </cacheField>
    <cacheField name="Crime Category" numFmtId="0">
      <sharedItems count="17">
        <s v="Murder with Rape"/>
        <s v="Dowry Death"/>
        <s v="Abetment to Suicide"/>
        <s v="Miscarriage"/>
        <s v="Acid Attack"/>
        <s v="Domestic Violence"/>
        <s v="Kidnapping &amp; Abduction"/>
        <s v="Human Trafficking"/>
        <s v="Rape"/>
        <s v="Attempt to Rape"/>
        <s v="Assault on Women"/>
        <s v="Insult to Modesty"/>
        <s v="Dowry Prohibition Act"/>
        <s v="Immoral Traffic"/>
        <s v="Cyber Crime"/>
        <s v="POCSO"/>
        <s v="Indecent Representation"/>
      </sharedItems>
    </cacheField>
    <cacheField name="Cases" numFmtId="0">
      <sharedItems containsSemiMixedTypes="0" containsString="0" containsNumber="1" containsInteger="1" minValue="0" maxValue="19889"/>
    </cacheField>
    <cacheField name="Record Level" numFmtId="0">
      <sharedItems/>
    </cacheField>
    <cacheField name="Analysis Include" numFmtId="0">
      <sharedItems count="2">
        <s v="Yes"/>
        <s v="No"/>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836">
  <r>
    <x v="0"/>
    <x v="0"/>
    <x v="0"/>
    <n v="5"/>
    <s v="Standalone"/>
    <x v="0"/>
  </r>
  <r>
    <x v="0"/>
    <x v="1"/>
    <x v="1"/>
    <n v="95"/>
    <s v="Standalone"/>
    <x v="0"/>
  </r>
  <r>
    <x v="0"/>
    <x v="2"/>
    <x v="2"/>
    <n v="386"/>
    <s v="Standalone"/>
    <x v="0"/>
  </r>
  <r>
    <x v="0"/>
    <x v="3"/>
    <x v="3"/>
    <n v="10"/>
    <s v="Standalone"/>
    <x v="0"/>
  </r>
  <r>
    <x v="0"/>
    <x v="4"/>
    <x v="4"/>
    <n v="3"/>
    <s v="Standalone"/>
    <x v="0"/>
  </r>
  <r>
    <x v="0"/>
    <x v="5"/>
    <x v="4"/>
    <n v="4"/>
    <s v="Standalone"/>
    <x v="0"/>
  </r>
  <r>
    <x v="0"/>
    <x v="6"/>
    <x v="5"/>
    <n v="10594"/>
    <s v="Standalone"/>
    <x v="0"/>
  </r>
  <r>
    <x v="0"/>
    <x v="7"/>
    <x v="6"/>
    <n v="524"/>
    <s v="Total"/>
    <x v="0"/>
  </r>
  <r>
    <x v="0"/>
    <x v="8"/>
    <x v="6"/>
    <n v="334"/>
    <s v="Detail"/>
    <x v="1"/>
  </r>
  <r>
    <x v="0"/>
    <x v="9"/>
    <x v="6"/>
    <n v="1"/>
    <s v="Detail"/>
    <x v="1"/>
  </r>
  <r>
    <x v="0"/>
    <x v="10"/>
    <x v="6"/>
    <n v="5"/>
    <s v="Detail"/>
    <x v="1"/>
  </r>
  <r>
    <x v="0"/>
    <x v="11"/>
    <x v="6"/>
    <n v="132"/>
    <s v="Total"/>
    <x v="1"/>
  </r>
  <r>
    <x v="0"/>
    <x v="12"/>
    <x v="6"/>
    <n v="58"/>
    <s v="Detail"/>
    <x v="1"/>
  </r>
  <r>
    <x v="0"/>
    <x v="13"/>
    <x v="6"/>
    <n v="74"/>
    <s v="Detail"/>
    <x v="1"/>
  </r>
  <r>
    <x v="0"/>
    <x v="14"/>
    <x v="6"/>
    <n v="26"/>
    <s v="Standalone"/>
    <x v="0"/>
  </r>
  <r>
    <x v="0"/>
    <x v="15"/>
    <x v="6"/>
    <n v="0"/>
    <s v="Standalone"/>
    <x v="0"/>
  </r>
  <r>
    <x v="0"/>
    <x v="16"/>
    <x v="6"/>
    <n v="26"/>
    <s v="Standalone"/>
    <x v="0"/>
  </r>
  <r>
    <x v="0"/>
    <x v="17"/>
    <x v="7"/>
    <n v="79"/>
    <s v="Standalone"/>
    <x v="0"/>
  </r>
  <r>
    <x v="0"/>
    <x v="18"/>
    <x v="7"/>
    <n v="0"/>
    <s v="Standalone"/>
    <x v="0"/>
  </r>
  <r>
    <x v="0"/>
    <x v="19"/>
    <x v="7"/>
    <n v="2"/>
    <s v="Standalone"/>
    <x v="0"/>
  </r>
  <r>
    <x v="0"/>
    <x v="20"/>
    <x v="8"/>
    <n v="438"/>
    <s v="Total"/>
    <x v="0"/>
  </r>
  <r>
    <x v="0"/>
    <x v="21"/>
    <x v="8"/>
    <n v="438"/>
    <s v="Detail"/>
    <x v="1"/>
  </r>
  <r>
    <x v="0"/>
    <x v="22"/>
    <x v="8"/>
    <n v="0"/>
    <s v="Detail"/>
    <x v="1"/>
  </r>
  <r>
    <x v="0"/>
    <x v="23"/>
    <x v="9"/>
    <n v="112"/>
    <s v="Total"/>
    <x v="0"/>
  </r>
  <r>
    <x v="0"/>
    <x v="24"/>
    <x v="9"/>
    <n v="96"/>
    <s v="Detail"/>
    <x v="1"/>
  </r>
  <r>
    <x v="0"/>
    <x v="25"/>
    <x v="9"/>
    <n v="16"/>
    <s v="Detail"/>
    <x v="1"/>
  </r>
  <r>
    <x v="0"/>
    <x v="26"/>
    <x v="10"/>
    <n v="4930"/>
    <s v="Total"/>
    <x v="0"/>
  </r>
  <r>
    <x v="0"/>
    <x v="27"/>
    <x v="10"/>
    <n v="4930"/>
    <s v="Detail"/>
    <x v="1"/>
  </r>
  <r>
    <x v="0"/>
    <x v="28"/>
    <x v="10"/>
    <n v="0"/>
    <s v="Detail"/>
    <x v="1"/>
  </r>
  <r>
    <x v="0"/>
    <x v="29"/>
    <x v="11"/>
    <n v="2826"/>
    <s v="Total"/>
    <x v="0"/>
  </r>
  <r>
    <x v="0"/>
    <x v="30"/>
    <x v="11"/>
    <n v="2826"/>
    <s v="Detail"/>
    <x v="1"/>
  </r>
  <r>
    <x v="0"/>
    <x v="31"/>
    <x v="11"/>
    <n v="0"/>
    <s v="Detail"/>
    <x v="1"/>
  </r>
  <r>
    <x v="0"/>
    <x v="32"/>
    <x v="12"/>
    <n v="353"/>
    <s v="Standalone"/>
    <x v="0"/>
  </r>
  <r>
    <x v="0"/>
    <x v="33"/>
    <x v="13"/>
    <n v="68"/>
    <s v="Total"/>
    <x v="0"/>
  </r>
  <r>
    <x v="0"/>
    <x v="34"/>
    <x v="13"/>
    <n v="11"/>
    <s v="Detail"/>
    <x v="1"/>
  </r>
  <r>
    <x v="0"/>
    <x v="35"/>
    <x v="13"/>
    <n v="1"/>
    <s v="Detail"/>
    <x v="1"/>
  </r>
  <r>
    <x v="0"/>
    <x v="36"/>
    <x v="13"/>
    <n v="11"/>
    <s v="Detail"/>
    <x v="1"/>
  </r>
  <r>
    <x v="0"/>
    <x v="37"/>
    <x v="13"/>
    <n v="0"/>
    <s v="Detail"/>
    <x v="1"/>
  </r>
  <r>
    <x v="0"/>
    <x v="38"/>
    <x v="13"/>
    <n v="45"/>
    <s v="Detail"/>
    <x v="1"/>
  </r>
  <r>
    <x v="0"/>
    <x v="39"/>
    <x v="5"/>
    <n v="0"/>
    <s v="Standalone"/>
    <x v="0"/>
  </r>
  <r>
    <x v="0"/>
    <x v="40"/>
    <x v="14"/>
    <n v="79"/>
    <s v="Total"/>
    <x v="0"/>
  </r>
  <r>
    <x v="0"/>
    <x v="41"/>
    <x v="14"/>
    <n v="68"/>
    <s v="Detail"/>
    <x v="1"/>
  </r>
  <r>
    <x v="0"/>
    <x v="42"/>
    <x v="14"/>
    <n v="11"/>
    <s v="Detail"/>
    <x v="1"/>
  </r>
  <r>
    <x v="0"/>
    <x v="43"/>
    <x v="15"/>
    <n v="1907"/>
    <s v="Total"/>
    <x v="0"/>
  </r>
  <r>
    <x v="0"/>
    <x v="44"/>
    <x v="15"/>
    <n v="855"/>
    <s v="Detail"/>
    <x v="1"/>
  </r>
  <r>
    <x v="0"/>
    <x v="45"/>
    <x v="15"/>
    <n v="552"/>
    <s v="Detail"/>
    <x v="1"/>
  </r>
  <r>
    <x v="0"/>
    <x v="46"/>
    <x v="15"/>
    <n v="488"/>
    <s v="Detail"/>
    <x v="1"/>
  </r>
  <r>
    <x v="0"/>
    <x v="47"/>
    <x v="15"/>
    <n v="9"/>
    <s v="Detail"/>
    <x v="1"/>
  </r>
  <r>
    <x v="0"/>
    <x v="48"/>
    <x v="15"/>
    <n v="3"/>
    <s v="Detail"/>
    <x v="1"/>
  </r>
  <r>
    <x v="0"/>
    <x v="49"/>
    <x v="15"/>
    <n v="0"/>
    <s v="Detail"/>
    <x v="1"/>
  </r>
  <r>
    <x v="0"/>
    <x v="50"/>
    <x v="16"/>
    <n v="3"/>
    <s v="Standalone"/>
    <x v="0"/>
  </r>
  <r>
    <x v="1"/>
    <x v="0"/>
    <x v="0"/>
    <n v="0"/>
    <s v="Standalone"/>
    <x v="0"/>
  </r>
  <r>
    <x v="1"/>
    <x v="1"/>
    <x v="1"/>
    <n v="1"/>
    <s v="Standalone"/>
    <x v="0"/>
  </r>
  <r>
    <x v="1"/>
    <x v="2"/>
    <x v="2"/>
    <n v="3"/>
    <s v="Standalone"/>
    <x v="0"/>
  </r>
  <r>
    <x v="1"/>
    <x v="3"/>
    <x v="3"/>
    <n v="0"/>
    <s v="Standalone"/>
    <x v="0"/>
  </r>
  <r>
    <x v="1"/>
    <x v="4"/>
    <x v="4"/>
    <n v="0"/>
    <s v="Standalone"/>
    <x v="0"/>
  </r>
  <r>
    <x v="1"/>
    <x v="5"/>
    <x v="4"/>
    <n v="0"/>
    <s v="Standalone"/>
    <x v="0"/>
  </r>
  <r>
    <x v="1"/>
    <x v="6"/>
    <x v="5"/>
    <n v="58"/>
    <s v="Standalone"/>
    <x v="0"/>
  </r>
  <r>
    <x v="1"/>
    <x v="7"/>
    <x v="6"/>
    <n v="38"/>
    <s v="Total"/>
    <x v="0"/>
  </r>
  <r>
    <x v="1"/>
    <x v="8"/>
    <x v="6"/>
    <n v="28"/>
    <s v="Detail"/>
    <x v="1"/>
  </r>
  <r>
    <x v="1"/>
    <x v="9"/>
    <x v="6"/>
    <n v="0"/>
    <s v="Detail"/>
    <x v="1"/>
  </r>
  <r>
    <x v="1"/>
    <x v="10"/>
    <x v="6"/>
    <n v="1"/>
    <s v="Detail"/>
    <x v="1"/>
  </r>
  <r>
    <x v="1"/>
    <x v="11"/>
    <x v="6"/>
    <n v="3"/>
    <s v="Total"/>
    <x v="1"/>
  </r>
  <r>
    <x v="1"/>
    <x v="12"/>
    <x v="6"/>
    <n v="2"/>
    <s v="Detail"/>
    <x v="1"/>
  </r>
  <r>
    <x v="1"/>
    <x v="13"/>
    <x v="6"/>
    <n v="1"/>
    <s v="Detail"/>
    <x v="1"/>
  </r>
  <r>
    <x v="1"/>
    <x v="14"/>
    <x v="6"/>
    <n v="1"/>
    <s v="Standalone"/>
    <x v="0"/>
  </r>
  <r>
    <x v="1"/>
    <x v="15"/>
    <x v="6"/>
    <n v="0"/>
    <s v="Standalone"/>
    <x v="0"/>
  </r>
  <r>
    <x v="1"/>
    <x v="16"/>
    <x v="6"/>
    <n v="5"/>
    <s v="Standalone"/>
    <x v="0"/>
  </r>
  <r>
    <x v="1"/>
    <x v="17"/>
    <x v="7"/>
    <n v="5"/>
    <s v="Standalone"/>
    <x v="0"/>
  </r>
  <r>
    <x v="1"/>
    <x v="18"/>
    <x v="7"/>
    <n v="0"/>
    <s v="Standalone"/>
    <x v="0"/>
  </r>
  <r>
    <x v="1"/>
    <x v="19"/>
    <x v="7"/>
    <n v="0"/>
    <s v="Standalone"/>
    <x v="0"/>
  </r>
  <r>
    <x v="1"/>
    <x v="20"/>
    <x v="8"/>
    <n v="71"/>
    <s v="Total"/>
    <x v="0"/>
  </r>
  <r>
    <x v="1"/>
    <x v="21"/>
    <x v="8"/>
    <n v="35"/>
    <s v="Detail"/>
    <x v="1"/>
  </r>
  <r>
    <x v="1"/>
    <x v="22"/>
    <x v="8"/>
    <n v="36"/>
    <s v="Detail"/>
    <x v="1"/>
  </r>
  <r>
    <x v="1"/>
    <x v="23"/>
    <x v="9"/>
    <n v="5"/>
    <s v="Total"/>
    <x v="0"/>
  </r>
  <r>
    <x v="1"/>
    <x v="24"/>
    <x v="9"/>
    <n v="3"/>
    <s v="Detail"/>
    <x v="1"/>
  </r>
  <r>
    <x v="1"/>
    <x v="25"/>
    <x v="9"/>
    <n v="2"/>
    <s v="Detail"/>
    <x v="1"/>
  </r>
  <r>
    <x v="1"/>
    <x v="26"/>
    <x v="10"/>
    <n v="74"/>
    <s v="Total"/>
    <x v="0"/>
  </r>
  <r>
    <x v="1"/>
    <x v="27"/>
    <x v="10"/>
    <n v="69"/>
    <s v="Detail"/>
    <x v="1"/>
  </r>
  <r>
    <x v="1"/>
    <x v="28"/>
    <x v="10"/>
    <n v="5"/>
    <s v="Detail"/>
    <x v="1"/>
  </r>
  <r>
    <x v="1"/>
    <x v="29"/>
    <x v="11"/>
    <n v="16"/>
    <s v="Total"/>
    <x v="0"/>
  </r>
  <r>
    <x v="1"/>
    <x v="30"/>
    <x v="11"/>
    <n v="16"/>
    <s v="Detail"/>
    <x v="1"/>
  </r>
  <r>
    <x v="1"/>
    <x v="31"/>
    <x v="11"/>
    <n v="0"/>
    <s v="Detail"/>
    <x v="1"/>
  </r>
  <r>
    <x v="1"/>
    <x v="32"/>
    <x v="12"/>
    <n v="0"/>
    <s v="Standalone"/>
    <x v="0"/>
  </r>
  <r>
    <x v="1"/>
    <x v="33"/>
    <x v="13"/>
    <n v="0"/>
    <s v="Total"/>
    <x v="0"/>
  </r>
  <r>
    <x v="1"/>
    <x v="34"/>
    <x v="13"/>
    <n v="0"/>
    <s v="Detail"/>
    <x v="1"/>
  </r>
  <r>
    <x v="1"/>
    <x v="35"/>
    <x v="13"/>
    <n v="0"/>
    <s v="Detail"/>
    <x v="1"/>
  </r>
  <r>
    <x v="1"/>
    <x v="36"/>
    <x v="13"/>
    <n v="0"/>
    <s v="Detail"/>
    <x v="1"/>
  </r>
  <r>
    <x v="1"/>
    <x v="37"/>
    <x v="13"/>
    <n v="0"/>
    <s v="Detail"/>
    <x v="1"/>
  </r>
  <r>
    <x v="1"/>
    <x v="38"/>
    <x v="13"/>
    <n v="0"/>
    <s v="Detail"/>
    <x v="1"/>
  </r>
  <r>
    <x v="1"/>
    <x v="39"/>
    <x v="5"/>
    <n v="0"/>
    <s v="Standalone"/>
    <x v="0"/>
  </r>
  <r>
    <x v="1"/>
    <x v="40"/>
    <x v="14"/>
    <n v="0"/>
    <s v="Total"/>
    <x v="0"/>
  </r>
  <r>
    <x v="1"/>
    <x v="41"/>
    <x v="14"/>
    <n v="0"/>
    <s v="Detail"/>
    <x v="1"/>
  </r>
  <r>
    <x v="1"/>
    <x v="42"/>
    <x v="14"/>
    <n v="0"/>
    <s v="Detail"/>
    <x v="1"/>
  </r>
  <r>
    <x v="1"/>
    <x v="43"/>
    <x v="15"/>
    <n v="55"/>
    <s v="Total"/>
    <x v="0"/>
  </r>
  <r>
    <x v="1"/>
    <x v="44"/>
    <x v="15"/>
    <n v="42"/>
    <s v="Detail"/>
    <x v="1"/>
  </r>
  <r>
    <x v="1"/>
    <x v="45"/>
    <x v="15"/>
    <n v="11"/>
    <s v="Detail"/>
    <x v="1"/>
  </r>
  <r>
    <x v="1"/>
    <x v="46"/>
    <x v="15"/>
    <n v="1"/>
    <s v="Detail"/>
    <x v="1"/>
  </r>
  <r>
    <x v="1"/>
    <x v="47"/>
    <x v="15"/>
    <n v="1"/>
    <s v="Detail"/>
    <x v="1"/>
  </r>
  <r>
    <x v="1"/>
    <x v="48"/>
    <x v="15"/>
    <n v="0"/>
    <s v="Detail"/>
    <x v="1"/>
  </r>
  <r>
    <x v="1"/>
    <x v="49"/>
    <x v="15"/>
    <n v="0"/>
    <s v="Detail"/>
    <x v="1"/>
  </r>
  <r>
    <x v="1"/>
    <x v="50"/>
    <x v="16"/>
    <n v="0"/>
    <s v="Standalone"/>
    <x v="0"/>
  </r>
  <r>
    <x v="2"/>
    <x v="0"/>
    <x v="0"/>
    <n v="13"/>
    <s v="Standalone"/>
    <x v="0"/>
  </r>
  <r>
    <x v="2"/>
    <x v="1"/>
    <x v="1"/>
    <n v="101"/>
    <s v="Standalone"/>
    <x v="0"/>
  </r>
  <r>
    <x v="2"/>
    <x v="2"/>
    <x v="2"/>
    <n v="102"/>
    <s v="Standalone"/>
    <x v="0"/>
  </r>
  <r>
    <x v="2"/>
    <x v="3"/>
    <x v="3"/>
    <n v="4"/>
    <s v="Standalone"/>
    <x v="0"/>
  </r>
  <r>
    <x v="2"/>
    <x v="4"/>
    <x v="4"/>
    <n v="4"/>
    <s v="Standalone"/>
    <x v="0"/>
  </r>
  <r>
    <x v="2"/>
    <x v="5"/>
    <x v="4"/>
    <n v="2"/>
    <s v="Standalone"/>
    <x v="0"/>
  </r>
  <r>
    <x v="2"/>
    <x v="6"/>
    <x v="5"/>
    <n v="2923"/>
    <s v="Standalone"/>
    <x v="0"/>
  </r>
  <r>
    <x v="2"/>
    <x v="7"/>
    <x v="6"/>
    <n v="3110"/>
    <s v="Total"/>
    <x v="0"/>
  </r>
  <r>
    <x v="2"/>
    <x v="8"/>
    <x v="6"/>
    <n v="645"/>
    <s v="Detail"/>
    <x v="1"/>
  </r>
  <r>
    <x v="2"/>
    <x v="9"/>
    <x v="6"/>
    <n v="3"/>
    <s v="Detail"/>
    <x v="1"/>
  </r>
  <r>
    <x v="2"/>
    <x v="10"/>
    <x v="6"/>
    <n v="15"/>
    <s v="Detail"/>
    <x v="1"/>
  </r>
  <r>
    <x v="2"/>
    <x v="11"/>
    <x v="6"/>
    <n v="1371"/>
    <s v="Total"/>
    <x v="1"/>
  </r>
  <r>
    <x v="2"/>
    <x v="12"/>
    <x v="6"/>
    <n v="1000"/>
    <s v="Detail"/>
    <x v="1"/>
  </r>
  <r>
    <x v="2"/>
    <x v="13"/>
    <x v="6"/>
    <n v="371"/>
    <s v="Detail"/>
    <x v="1"/>
  </r>
  <r>
    <x v="2"/>
    <x v="14"/>
    <x v="6"/>
    <n v="454"/>
    <s v="Standalone"/>
    <x v="0"/>
  </r>
  <r>
    <x v="2"/>
    <x v="15"/>
    <x v="6"/>
    <n v="0"/>
    <s v="Standalone"/>
    <x v="0"/>
  </r>
  <r>
    <x v="2"/>
    <x v="16"/>
    <x v="6"/>
    <n v="622"/>
    <s v="Standalone"/>
    <x v="0"/>
  </r>
  <r>
    <x v="2"/>
    <x v="17"/>
    <x v="7"/>
    <n v="81"/>
    <s v="Standalone"/>
    <x v="0"/>
  </r>
  <r>
    <x v="2"/>
    <x v="18"/>
    <x v="7"/>
    <n v="5"/>
    <s v="Standalone"/>
    <x v="0"/>
  </r>
  <r>
    <x v="2"/>
    <x v="19"/>
    <x v="7"/>
    <n v="0"/>
    <s v="Standalone"/>
    <x v="0"/>
  </r>
  <r>
    <x v="2"/>
    <x v="20"/>
    <x v="8"/>
    <n v="989"/>
    <s v="Total"/>
    <x v="0"/>
  </r>
  <r>
    <x v="2"/>
    <x v="21"/>
    <x v="8"/>
    <n v="988"/>
    <s v="Detail"/>
    <x v="1"/>
  </r>
  <r>
    <x v="2"/>
    <x v="22"/>
    <x v="8"/>
    <n v="1"/>
    <s v="Detail"/>
    <x v="1"/>
  </r>
  <r>
    <x v="2"/>
    <x v="23"/>
    <x v="9"/>
    <n v="173"/>
    <s v="Total"/>
    <x v="0"/>
  </r>
  <r>
    <x v="2"/>
    <x v="24"/>
    <x v="9"/>
    <n v="173"/>
    <s v="Detail"/>
    <x v="1"/>
  </r>
  <r>
    <x v="2"/>
    <x v="25"/>
    <x v="9"/>
    <n v="0"/>
    <s v="Detail"/>
    <x v="1"/>
  </r>
  <r>
    <x v="2"/>
    <x v="26"/>
    <x v="10"/>
    <n v="1595"/>
    <s v="Total"/>
    <x v="0"/>
  </r>
  <r>
    <x v="2"/>
    <x v="27"/>
    <x v="10"/>
    <n v="1582"/>
    <s v="Detail"/>
    <x v="1"/>
  </r>
  <r>
    <x v="2"/>
    <x v="28"/>
    <x v="10"/>
    <n v="13"/>
    <s v="Detail"/>
    <x v="1"/>
  </r>
  <r>
    <x v="2"/>
    <x v="29"/>
    <x v="11"/>
    <n v="42"/>
    <s v="Total"/>
    <x v="0"/>
  </r>
  <r>
    <x v="2"/>
    <x v="30"/>
    <x v="11"/>
    <n v="42"/>
    <s v="Detail"/>
    <x v="1"/>
  </r>
  <r>
    <x v="2"/>
    <x v="31"/>
    <x v="11"/>
    <n v="0"/>
    <s v="Detail"/>
    <x v="1"/>
  </r>
  <r>
    <x v="2"/>
    <x v="32"/>
    <x v="12"/>
    <n v="162"/>
    <s v="Standalone"/>
    <x v="0"/>
  </r>
  <r>
    <x v="2"/>
    <x v="33"/>
    <x v="13"/>
    <n v="30"/>
    <s v="Total"/>
    <x v="0"/>
  </r>
  <r>
    <x v="2"/>
    <x v="34"/>
    <x v="13"/>
    <n v="3"/>
    <s v="Detail"/>
    <x v="1"/>
  </r>
  <r>
    <x v="2"/>
    <x v="35"/>
    <x v="13"/>
    <n v="0"/>
    <s v="Detail"/>
    <x v="1"/>
  </r>
  <r>
    <x v="2"/>
    <x v="36"/>
    <x v="13"/>
    <n v="0"/>
    <s v="Detail"/>
    <x v="1"/>
  </r>
  <r>
    <x v="2"/>
    <x v="37"/>
    <x v="13"/>
    <n v="0"/>
    <s v="Detail"/>
    <x v="1"/>
  </r>
  <r>
    <x v="2"/>
    <x v="38"/>
    <x v="13"/>
    <n v="27"/>
    <s v="Detail"/>
    <x v="1"/>
  </r>
  <r>
    <x v="2"/>
    <x v="39"/>
    <x v="5"/>
    <n v="3"/>
    <s v="Standalone"/>
    <x v="0"/>
  </r>
  <r>
    <x v="2"/>
    <x v="40"/>
    <x v="14"/>
    <n v="182"/>
    <s v="Total"/>
    <x v="0"/>
  </r>
  <r>
    <x v="2"/>
    <x v="41"/>
    <x v="14"/>
    <n v="97"/>
    <s v="Detail"/>
    <x v="1"/>
  </r>
  <r>
    <x v="2"/>
    <x v="42"/>
    <x v="14"/>
    <n v="85"/>
    <s v="Detail"/>
    <x v="1"/>
  </r>
  <r>
    <x v="2"/>
    <x v="43"/>
    <x v="15"/>
    <n v="2549"/>
    <s v="Total"/>
    <x v="0"/>
  </r>
  <r>
    <x v="2"/>
    <x v="44"/>
    <x v="15"/>
    <n v="1816"/>
    <s v="Detail"/>
    <x v="1"/>
  </r>
  <r>
    <x v="2"/>
    <x v="45"/>
    <x v="15"/>
    <n v="475"/>
    <s v="Detail"/>
    <x v="1"/>
  </r>
  <r>
    <x v="2"/>
    <x v="46"/>
    <x v="15"/>
    <n v="121"/>
    <s v="Detail"/>
    <x v="1"/>
  </r>
  <r>
    <x v="2"/>
    <x v="47"/>
    <x v="15"/>
    <n v="12"/>
    <s v="Detail"/>
    <x v="1"/>
  </r>
  <r>
    <x v="2"/>
    <x v="48"/>
    <x v="15"/>
    <n v="125"/>
    <s v="Detail"/>
    <x v="1"/>
  </r>
  <r>
    <x v="2"/>
    <x v="49"/>
    <x v="15"/>
    <n v="0"/>
    <s v="Detail"/>
    <x v="1"/>
  </r>
  <r>
    <x v="2"/>
    <x v="50"/>
    <x v="16"/>
    <n v="0"/>
    <s v="Standalone"/>
    <x v="0"/>
  </r>
  <r>
    <x v="3"/>
    <x v="0"/>
    <x v="0"/>
    <n v="4"/>
    <s v="Standalone"/>
    <x v="0"/>
  </r>
  <r>
    <x v="3"/>
    <x v="1"/>
    <x v="1"/>
    <n v="1143"/>
    <s v="Standalone"/>
    <x v="0"/>
  </r>
  <r>
    <x v="3"/>
    <x v="2"/>
    <x v="2"/>
    <n v="3"/>
    <s v="Standalone"/>
    <x v="0"/>
  </r>
  <r>
    <x v="3"/>
    <x v="3"/>
    <x v="3"/>
    <n v="0"/>
    <s v="Standalone"/>
    <x v="0"/>
  </r>
  <r>
    <x v="3"/>
    <x v="4"/>
    <x v="4"/>
    <n v="5"/>
    <s v="Standalone"/>
    <x v="0"/>
  </r>
  <r>
    <x v="3"/>
    <x v="5"/>
    <x v="4"/>
    <n v="0"/>
    <s v="Standalone"/>
    <x v="0"/>
  </r>
  <r>
    <x v="3"/>
    <x v="6"/>
    <x v="5"/>
    <n v="2032"/>
    <s v="Standalone"/>
    <x v="0"/>
  </r>
  <r>
    <x v="3"/>
    <x v="7"/>
    <x v="6"/>
    <n v="12136"/>
    <s v="Total"/>
    <x v="0"/>
  </r>
  <r>
    <x v="3"/>
    <x v="8"/>
    <x v="6"/>
    <n v="868"/>
    <s v="Detail"/>
    <x v="1"/>
  </r>
  <r>
    <x v="3"/>
    <x v="9"/>
    <x v="6"/>
    <n v="6"/>
    <s v="Detail"/>
    <x v="1"/>
  </r>
  <r>
    <x v="3"/>
    <x v="10"/>
    <x v="6"/>
    <n v="2"/>
    <s v="Detail"/>
    <x v="1"/>
  </r>
  <r>
    <x v="3"/>
    <x v="11"/>
    <x v="6"/>
    <n v="9467"/>
    <s v="Total"/>
    <x v="1"/>
  </r>
  <r>
    <x v="3"/>
    <x v="12"/>
    <x v="6"/>
    <n v="4534"/>
    <s v="Detail"/>
    <x v="1"/>
  </r>
  <r>
    <x v="3"/>
    <x v="13"/>
    <x v="6"/>
    <n v="4933"/>
    <s v="Detail"/>
    <x v="1"/>
  </r>
  <r>
    <x v="3"/>
    <x v="14"/>
    <x v="6"/>
    <n v="0"/>
    <s v="Standalone"/>
    <x v="0"/>
  </r>
  <r>
    <x v="3"/>
    <x v="15"/>
    <x v="6"/>
    <n v="0"/>
    <s v="Standalone"/>
    <x v="0"/>
  </r>
  <r>
    <x v="3"/>
    <x v="16"/>
    <x v="6"/>
    <n v="1793"/>
    <s v="Standalone"/>
    <x v="0"/>
  </r>
  <r>
    <x v="3"/>
    <x v="17"/>
    <x v="7"/>
    <n v="28"/>
    <s v="Standalone"/>
    <x v="0"/>
  </r>
  <r>
    <x v="3"/>
    <x v="18"/>
    <x v="7"/>
    <n v="0"/>
    <s v="Standalone"/>
    <x v="0"/>
  </r>
  <r>
    <x v="3"/>
    <x v="19"/>
    <x v="7"/>
    <n v="0"/>
    <s v="Standalone"/>
    <x v="0"/>
  </r>
  <r>
    <x v="3"/>
    <x v="20"/>
    <x v="8"/>
    <n v="902"/>
    <s v="Total"/>
    <x v="0"/>
  </r>
  <r>
    <x v="3"/>
    <x v="21"/>
    <x v="8"/>
    <n v="902"/>
    <s v="Detail"/>
    <x v="1"/>
  </r>
  <r>
    <x v="3"/>
    <x v="22"/>
    <x v="8"/>
    <n v="0"/>
    <s v="Detail"/>
    <x v="1"/>
  </r>
  <r>
    <x v="3"/>
    <x v="23"/>
    <x v="9"/>
    <n v="47"/>
    <s v="Total"/>
    <x v="0"/>
  </r>
  <r>
    <x v="3"/>
    <x v="24"/>
    <x v="9"/>
    <n v="30"/>
    <s v="Detail"/>
    <x v="1"/>
  </r>
  <r>
    <x v="3"/>
    <x v="25"/>
    <x v="9"/>
    <n v="17"/>
    <s v="Detail"/>
    <x v="1"/>
  </r>
  <r>
    <x v="3"/>
    <x v="26"/>
    <x v="10"/>
    <n v="472"/>
    <s v="Total"/>
    <x v="0"/>
  </r>
  <r>
    <x v="3"/>
    <x v="27"/>
    <x v="10"/>
    <n v="465"/>
    <s v="Detail"/>
    <x v="1"/>
  </r>
  <r>
    <x v="3"/>
    <x v="28"/>
    <x v="10"/>
    <n v="7"/>
    <s v="Detail"/>
    <x v="1"/>
  </r>
  <r>
    <x v="3"/>
    <x v="29"/>
    <x v="11"/>
    <n v="47"/>
    <s v="Total"/>
    <x v="0"/>
  </r>
  <r>
    <x v="3"/>
    <x v="30"/>
    <x v="11"/>
    <n v="47"/>
    <s v="Detail"/>
    <x v="1"/>
  </r>
  <r>
    <x v="3"/>
    <x v="31"/>
    <x v="11"/>
    <n v="0"/>
    <s v="Detail"/>
    <x v="1"/>
  </r>
  <r>
    <x v="3"/>
    <x v="32"/>
    <x v="12"/>
    <n v="3665"/>
    <s v="Standalone"/>
    <x v="0"/>
  </r>
  <r>
    <x v="3"/>
    <x v="33"/>
    <x v="13"/>
    <n v="58"/>
    <s v="Total"/>
    <x v="0"/>
  </r>
  <r>
    <x v="3"/>
    <x v="34"/>
    <x v="13"/>
    <n v="29"/>
    <s v="Detail"/>
    <x v="1"/>
  </r>
  <r>
    <x v="3"/>
    <x v="35"/>
    <x v="13"/>
    <n v="11"/>
    <s v="Detail"/>
    <x v="1"/>
  </r>
  <r>
    <x v="3"/>
    <x v="36"/>
    <x v="13"/>
    <n v="2"/>
    <s v="Detail"/>
    <x v="1"/>
  </r>
  <r>
    <x v="3"/>
    <x v="37"/>
    <x v="13"/>
    <n v="0"/>
    <s v="Detail"/>
    <x v="1"/>
  </r>
  <r>
    <x v="3"/>
    <x v="38"/>
    <x v="13"/>
    <n v="16"/>
    <s v="Detail"/>
    <x v="1"/>
  </r>
  <r>
    <x v="3"/>
    <x v="39"/>
    <x v="5"/>
    <n v="1"/>
    <s v="Standalone"/>
    <x v="0"/>
  </r>
  <r>
    <x v="3"/>
    <x v="40"/>
    <x v="14"/>
    <n v="100"/>
    <s v="Total"/>
    <x v="0"/>
  </r>
  <r>
    <x v="3"/>
    <x v="41"/>
    <x v="14"/>
    <n v="20"/>
    <s v="Detail"/>
    <x v="1"/>
  </r>
  <r>
    <x v="3"/>
    <x v="42"/>
    <x v="14"/>
    <n v="80"/>
    <s v="Detail"/>
    <x v="1"/>
  </r>
  <r>
    <x v="3"/>
    <x v="43"/>
    <x v="15"/>
    <n v="2307"/>
    <s v="Total"/>
    <x v="0"/>
  </r>
  <r>
    <x v="3"/>
    <x v="44"/>
    <x v="15"/>
    <n v="925"/>
    <s v="Detail"/>
    <x v="1"/>
  </r>
  <r>
    <x v="3"/>
    <x v="45"/>
    <x v="15"/>
    <n v="844"/>
    <s v="Detail"/>
    <x v="1"/>
  </r>
  <r>
    <x v="3"/>
    <x v="46"/>
    <x v="15"/>
    <n v="190"/>
    <s v="Detail"/>
    <x v="1"/>
  </r>
  <r>
    <x v="3"/>
    <x v="47"/>
    <x v="15"/>
    <n v="345"/>
    <s v="Detail"/>
    <x v="1"/>
  </r>
  <r>
    <x v="3"/>
    <x v="48"/>
    <x v="15"/>
    <n v="0"/>
    <s v="Detail"/>
    <x v="1"/>
  </r>
  <r>
    <x v="3"/>
    <x v="49"/>
    <x v="15"/>
    <n v="3"/>
    <s v="Detail"/>
    <x v="1"/>
  </r>
  <r>
    <x v="3"/>
    <x v="50"/>
    <x v="16"/>
    <n v="2"/>
    <s v="Standalone"/>
    <x v="0"/>
  </r>
  <r>
    <x v="4"/>
    <x v="0"/>
    <x v="0"/>
    <n v="5"/>
    <s v="Standalone"/>
    <x v="0"/>
  </r>
  <r>
    <x v="4"/>
    <x v="1"/>
    <x v="1"/>
    <n v="46"/>
    <s v="Standalone"/>
    <x v="0"/>
  </r>
  <r>
    <x v="4"/>
    <x v="2"/>
    <x v="2"/>
    <n v="122"/>
    <s v="Standalone"/>
    <x v="0"/>
  </r>
  <r>
    <x v="4"/>
    <x v="3"/>
    <x v="3"/>
    <n v="5"/>
    <s v="Standalone"/>
    <x v="0"/>
  </r>
  <r>
    <x v="4"/>
    <x v="4"/>
    <x v="4"/>
    <n v="1"/>
    <s v="Standalone"/>
    <x v="0"/>
  </r>
  <r>
    <x v="4"/>
    <x v="5"/>
    <x v="4"/>
    <n v="0"/>
    <s v="Standalone"/>
    <x v="0"/>
  </r>
  <r>
    <x v="4"/>
    <x v="6"/>
    <x v="5"/>
    <n v="755"/>
    <s v="Standalone"/>
    <x v="0"/>
  </r>
  <r>
    <x v="4"/>
    <x v="7"/>
    <x v="6"/>
    <n v="2440"/>
    <s v="Total"/>
    <x v="0"/>
  </r>
  <r>
    <x v="4"/>
    <x v="8"/>
    <x v="6"/>
    <n v="2345"/>
    <s v="Detail"/>
    <x v="1"/>
  </r>
  <r>
    <x v="4"/>
    <x v="9"/>
    <x v="6"/>
    <n v="0"/>
    <s v="Detail"/>
    <x v="1"/>
  </r>
  <r>
    <x v="4"/>
    <x v="10"/>
    <x v="6"/>
    <n v="0"/>
    <s v="Detail"/>
    <x v="1"/>
  </r>
  <r>
    <x v="4"/>
    <x v="11"/>
    <x v="6"/>
    <n v="77"/>
    <s v="Total"/>
    <x v="1"/>
  </r>
  <r>
    <x v="4"/>
    <x v="12"/>
    <x v="6"/>
    <n v="1"/>
    <s v="Detail"/>
    <x v="1"/>
  </r>
  <r>
    <x v="4"/>
    <x v="13"/>
    <x v="6"/>
    <n v="76"/>
    <s v="Detail"/>
    <x v="1"/>
  </r>
  <r>
    <x v="4"/>
    <x v="14"/>
    <x v="6"/>
    <n v="1"/>
    <s v="Standalone"/>
    <x v="0"/>
  </r>
  <r>
    <x v="4"/>
    <x v="15"/>
    <x v="6"/>
    <n v="0"/>
    <s v="Standalone"/>
    <x v="0"/>
  </r>
  <r>
    <x v="4"/>
    <x v="16"/>
    <x v="6"/>
    <n v="17"/>
    <s v="Standalone"/>
    <x v="0"/>
  </r>
  <r>
    <x v="4"/>
    <x v="17"/>
    <x v="7"/>
    <n v="14"/>
    <s v="Standalone"/>
    <x v="0"/>
  </r>
  <r>
    <x v="4"/>
    <x v="18"/>
    <x v="7"/>
    <n v="0"/>
    <s v="Standalone"/>
    <x v="0"/>
  </r>
  <r>
    <x v="4"/>
    <x v="19"/>
    <x v="7"/>
    <n v="0"/>
    <s v="Standalone"/>
    <x v="0"/>
  </r>
  <r>
    <x v="4"/>
    <x v="20"/>
    <x v="8"/>
    <n v="1171"/>
    <s v="Total"/>
    <x v="0"/>
  </r>
  <r>
    <x v="4"/>
    <x v="21"/>
    <x v="8"/>
    <n v="1171"/>
    <s v="Detail"/>
    <x v="1"/>
  </r>
  <r>
    <x v="4"/>
    <x v="22"/>
    <x v="8"/>
    <n v="0"/>
    <s v="Detail"/>
    <x v="1"/>
  </r>
  <r>
    <x v="4"/>
    <x v="23"/>
    <x v="9"/>
    <n v="5"/>
    <s v="Total"/>
    <x v="0"/>
  </r>
  <r>
    <x v="4"/>
    <x v="24"/>
    <x v="9"/>
    <n v="1"/>
    <s v="Detail"/>
    <x v="1"/>
  </r>
  <r>
    <x v="4"/>
    <x v="25"/>
    <x v="9"/>
    <n v="4"/>
    <s v="Detail"/>
    <x v="1"/>
  </r>
  <r>
    <x v="4"/>
    <x v="26"/>
    <x v="10"/>
    <n v="1034"/>
    <s v="Total"/>
    <x v="0"/>
  </r>
  <r>
    <x v="4"/>
    <x v="27"/>
    <x v="10"/>
    <n v="1032"/>
    <s v="Detail"/>
    <x v="1"/>
  </r>
  <r>
    <x v="4"/>
    <x v="28"/>
    <x v="10"/>
    <n v="2"/>
    <s v="Detail"/>
    <x v="1"/>
  </r>
  <r>
    <x v="4"/>
    <x v="29"/>
    <x v="11"/>
    <n v="241"/>
    <s v="Total"/>
    <x v="0"/>
  </r>
  <r>
    <x v="4"/>
    <x v="30"/>
    <x v="11"/>
    <n v="239"/>
    <s v="Detail"/>
    <x v="1"/>
  </r>
  <r>
    <x v="4"/>
    <x v="31"/>
    <x v="11"/>
    <n v="2"/>
    <s v="Detail"/>
    <x v="1"/>
  </r>
  <r>
    <x v="4"/>
    <x v="32"/>
    <x v="12"/>
    <n v="8"/>
    <s v="Standalone"/>
    <x v="0"/>
  </r>
  <r>
    <x v="4"/>
    <x v="33"/>
    <x v="13"/>
    <n v="12"/>
    <s v="Total"/>
    <x v="0"/>
  </r>
  <r>
    <x v="4"/>
    <x v="34"/>
    <x v="13"/>
    <n v="0"/>
    <s v="Detail"/>
    <x v="1"/>
  </r>
  <r>
    <x v="4"/>
    <x v="35"/>
    <x v="13"/>
    <n v="0"/>
    <s v="Detail"/>
    <x v="1"/>
  </r>
  <r>
    <x v="4"/>
    <x v="36"/>
    <x v="13"/>
    <n v="11"/>
    <s v="Detail"/>
    <x v="1"/>
  </r>
  <r>
    <x v="4"/>
    <x v="37"/>
    <x v="13"/>
    <n v="0"/>
    <s v="Detail"/>
    <x v="1"/>
  </r>
  <r>
    <x v="4"/>
    <x v="38"/>
    <x v="13"/>
    <n v="1"/>
    <s v="Detail"/>
    <x v="1"/>
  </r>
  <r>
    <x v="4"/>
    <x v="39"/>
    <x v="5"/>
    <n v="0"/>
    <s v="Standalone"/>
    <x v="0"/>
  </r>
  <r>
    <x v="4"/>
    <x v="40"/>
    <x v="14"/>
    <n v="198"/>
    <s v="Total"/>
    <x v="0"/>
  </r>
  <r>
    <x v="4"/>
    <x v="41"/>
    <x v="14"/>
    <n v="195"/>
    <s v="Detail"/>
    <x v="1"/>
  </r>
  <r>
    <x v="4"/>
    <x v="42"/>
    <x v="14"/>
    <n v="3"/>
    <s v="Detail"/>
    <x v="1"/>
  </r>
  <r>
    <x v="4"/>
    <x v="43"/>
    <x v="15"/>
    <n v="1978"/>
    <s v="Total"/>
    <x v="0"/>
  </r>
  <r>
    <x v="4"/>
    <x v="44"/>
    <x v="15"/>
    <n v="1503"/>
    <s v="Detail"/>
    <x v="1"/>
  </r>
  <r>
    <x v="4"/>
    <x v="45"/>
    <x v="15"/>
    <n v="441"/>
    <s v="Detail"/>
    <x v="1"/>
  </r>
  <r>
    <x v="4"/>
    <x v="46"/>
    <x v="15"/>
    <n v="25"/>
    <s v="Detail"/>
    <x v="1"/>
  </r>
  <r>
    <x v="4"/>
    <x v="47"/>
    <x v="15"/>
    <n v="6"/>
    <s v="Detail"/>
    <x v="1"/>
  </r>
  <r>
    <x v="4"/>
    <x v="48"/>
    <x v="15"/>
    <n v="2"/>
    <s v="Detail"/>
    <x v="1"/>
  </r>
  <r>
    <x v="4"/>
    <x v="49"/>
    <x v="15"/>
    <n v="1"/>
    <s v="Detail"/>
    <x v="1"/>
  </r>
  <r>
    <x v="4"/>
    <x v="50"/>
    <x v="16"/>
    <n v="0"/>
    <s v="Standalone"/>
    <x v="0"/>
  </r>
  <r>
    <x v="5"/>
    <x v="0"/>
    <x v="0"/>
    <n v="0"/>
    <s v="Standalone"/>
    <x v="0"/>
  </r>
  <r>
    <x v="5"/>
    <x v="1"/>
    <x v="1"/>
    <n v="1"/>
    <s v="Standalone"/>
    <x v="0"/>
  </r>
  <r>
    <x v="5"/>
    <x v="2"/>
    <x v="2"/>
    <n v="3"/>
    <s v="Standalone"/>
    <x v="0"/>
  </r>
  <r>
    <x v="5"/>
    <x v="3"/>
    <x v="3"/>
    <n v="0"/>
    <s v="Standalone"/>
    <x v="0"/>
  </r>
  <r>
    <x v="5"/>
    <x v="4"/>
    <x v="4"/>
    <n v="0"/>
    <s v="Standalone"/>
    <x v="0"/>
  </r>
  <r>
    <x v="5"/>
    <x v="5"/>
    <x v="4"/>
    <n v="0"/>
    <s v="Standalone"/>
    <x v="0"/>
  </r>
  <r>
    <x v="5"/>
    <x v="6"/>
    <x v="5"/>
    <n v="0"/>
    <s v="Standalone"/>
    <x v="0"/>
  </r>
  <r>
    <x v="5"/>
    <x v="7"/>
    <x v="6"/>
    <n v="51"/>
    <s v="Total"/>
    <x v="0"/>
  </r>
  <r>
    <x v="5"/>
    <x v="8"/>
    <x v="6"/>
    <n v="41"/>
    <s v="Detail"/>
    <x v="1"/>
  </r>
  <r>
    <x v="5"/>
    <x v="9"/>
    <x v="6"/>
    <n v="0"/>
    <s v="Detail"/>
    <x v="1"/>
  </r>
  <r>
    <x v="5"/>
    <x v="10"/>
    <x v="6"/>
    <n v="0"/>
    <s v="Detail"/>
    <x v="1"/>
  </r>
  <r>
    <x v="5"/>
    <x v="11"/>
    <x v="6"/>
    <n v="0"/>
    <s v="Total"/>
    <x v="1"/>
  </r>
  <r>
    <x v="5"/>
    <x v="12"/>
    <x v="6"/>
    <n v="0"/>
    <s v="Detail"/>
    <x v="1"/>
  </r>
  <r>
    <x v="5"/>
    <x v="13"/>
    <x v="6"/>
    <n v="0"/>
    <s v="Detail"/>
    <x v="1"/>
  </r>
  <r>
    <x v="5"/>
    <x v="14"/>
    <x v="6"/>
    <n v="0"/>
    <s v="Standalone"/>
    <x v="0"/>
  </r>
  <r>
    <x v="5"/>
    <x v="15"/>
    <x v="6"/>
    <n v="0"/>
    <s v="Standalone"/>
    <x v="0"/>
  </r>
  <r>
    <x v="5"/>
    <x v="16"/>
    <x v="6"/>
    <n v="10"/>
    <s v="Standalone"/>
    <x v="0"/>
  </r>
  <r>
    <x v="5"/>
    <x v="17"/>
    <x v="7"/>
    <n v="8"/>
    <s v="Standalone"/>
    <x v="0"/>
  </r>
  <r>
    <x v="5"/>
    <x v="18"/>
    <x v="7"/>
    <n v="0"/>
    <s v="Standalone"/>
    <x v="0"/>
  </r>
  <r>
    <x v="5"/>
    <x v="19"/>
    <x v="7"/>
    <n v="0"/>
    <s v="Standalone"/>
    <x v="0"/>
  </r>
  <r>
    <x v="5"/>
    <x v="20"/>
    <x v="8"/>
    <n v="97"/>
    <s v="Total"/>
    <x v="0"/>
  </r>
  <r>
    <x v="5"/>
    <x v="21"/>
    <x v="8"/>
    <n v="35"/>
    <s v="Detail"/>
    <x v="1"/>
  </r>
  <r>
    <x v="5"/>
    <x v="22"/>
    <x v="8"/>
    <n v="62"/>
    <s v="Detail"/>
    <x v="1"/>
  </r>
  <r>
    <x v="5"/>
    <x v="23"/>
    <x v="9"/>
    <n v="0"/>
    <s v="Total"/>
    <x v="0"/>
  </r>
  <r>
    <x v="5"/>
    <x v="24"/>
    <x v="9"/>
    <n v="0"/>
    <s v="Detail"/>
    <x v="1"/>
  </r>
  <r>
    <x v="5"/>
    <x v="25"/>
    <x v="9"/>
    <n v="0"/>
    <s v="Detail"/>
    <x v="1"/>
  </r>
  <r>
    <x v="5"/>
    <x v="26"/>
    <x v="10"/>
    <n v="96"/>
    <s v="Total"/>
    <x v="0"/>
  </r>
  <r>
    <x v="5"/>
    <x v="27"/>
    <x v="10"/>
    <n v="75"/>
    <s v="Detail"/>
    <x v="1"/>
  </r>
  <r>
    <x v="5"/>
    <x v="28"/>
    <x v="10"/>
    <n v="21"/>
    <s v="Detail"/>
    <x v="1"/>
  </r>
  <r>
    <x v="5"/>
    <x v="29"/>
    <x v="11"/>
    <n v="21"/>
    <s v="Total"/>
    <x v="0"/>
  </r>
  <r>
    <x v="5"/>
    <x v="30"/>
    <x v="11"/>
    <n v="20"/>
    <s v="Detail"/>
    <x v="1"/>
  </r>
  <r>
    <x v="5"/>
    <x v="31"/>
    <x v="11"/>
    <n v="1"/>
    <s v="Detail"/>
    <x v="1"/>
  </r>
  <r>
    <x v="5"/>
    <x v="32"/>
    <x v="12"/>
    <n v="0"/>
    <s v="Standalone"/>
    <x v="0"/>
  </r>
  <r>
    <x v="5"/>
    <x v="33"/>
    <x v="13"/>
    <n v="0"/>
    <s v="Total"/>
    <x v="0"/>
  </r>
  <r>
    <x v="5"/>
    <x v="34"/>
    <x v="13"/>
    <n v="0"/>
    <s v="Detail"/>
    <x v="1"/>
  </r>
  <r>
    <x v="5"/>
    <x v="35"/>
    <x v="13"/>
    <n v="0"/>
    <s v="Detail"/>
    <x v="1"/>
  </r>
  <r>
    <x v="5"/>
    <x v="36"/>
    <x v="13"/>
    <n v="0"/>
    <s v="Detail"/>
    <x v="1"/>
  </r>
  <r>
    <x v="5"/>
    <x v="37"/>
    <x v="13"/>
    <n v="0"/>
    <s v="Detail"/>
    <x v="1"/>
  </r>
  <r>
    <x v="5"/>
    <x v="38"/>
    <x v="13"/>
    <n v="0"/>
    <s v="Detail"/>
    <x v="1"/>
  </r>
  <r>
    <x v="5"/>
    <x v="39"/>
    <x v="5"/>
    <n v="0"/>
    <s v="Standalone"/>
    <x v="0"/>
  </r>
  <r>
    <x v="5"/>
    <x v="40"/>
    <x v="14"/>
    <n v="9"/>
    <s v="Total"/>
    <x v="0"/>
  </r>
  <r>
    <x v="5"/>
    <x v="41"/>
    <x v="14"/>
    <n v="8"/>
    <s v="Detail"/>
    <x v="1"/>
  </r>
  <r>
    <x v="5"/>
    <x v="42"/>
    <x v="14"/>
    <n v="1"/>
    <s v="Detail"/>
    <x v="1"/>
  </r>
  <r>
    <x v="5"/>
    <x v="43"/>
    <x v="15"/>
    <n v="0"/>
    <s v="Total"/>
    <x v="0"/>
  </r>
  <r>
    <x v="5"/>
    <x v="44"/>
    <x v="15"/>
    <n v="0"/>
    <s v="Detail"/>
    <x v="1"/>
  </r>
  <r>
    <x v="5"/>
    <x v="45"/>
    <x v="15"/>
    <n v="0"/>
    <s v="Detail"/>
    <x v="1"/>
  </r>
  <r>
    <x v="5"/>
    <x v="46"/>
    <x v="15"/>
    <n v="0"/>
    <s v="Detail"/>
    <x v="1"/>
  </r>
  <r>
    <x v="5"/>
    <x v="47"/>
    <x v="15"/>
    <n v="0"/>
    <s v="Detail"/>
    <x v="1"/>
  </r>
  <r>
    <x v="5"/>
    <x v="48"/>
    <x v="15"/>
    <n v="0"/>
    <s v="Detail"/>
    <x v="1"/>
  </r>
  <r>
    <x v="5"/>
    <x v="49"/>
    <x v="15"/>
    <n v="0"/>
    <s v="Detail"/>
    <x v="1"/>
  </r>
  <r>
    <x v="5"/>
    <x v="50"/>
    <x v="16"/>
    <n v="0"/>
    <s v="Standalone"/>
    <x v="0"/>
  </r>
  <r>
    <x v="6"/>
    <x v="0"/>
    <x v="0"/>
    <n v="7"/>
    <s v="Standalone"/>
    <x v="0"/>
  </r>
  <r>
    <x v="6"/>
    <x v="1"/>
    <x v="1"/>
    <n v="12"/>
    <s v="Standalone"/>
    <x v="0"/>
  </r>
  <r>
    <x v="6"/>
    <x v="2"/>
    <x v="2"/>
    <n v="318"/>
    <s v="Standalone"/>
    <x v="0"/>
  </r>
  <r>
    <x v="6"/>
    <x v="3"/>
    <x v="3"/>
    <n v="5"/>
    <s v="Standalone"/>
    <x v="0"/>
  </r>
  <r>
    <x v="6"/>
    <x v="4"/>
    <x v="4"/>
    <n v="2"/>
    <s v="Standalone"/>
    <x v="0"/>
  </r>
  <r>
    <x v="6"/>
    <x v="5"/>
    <x v="4"/>
    <n v="1"/>
    <s v="Standalone"/>
    <x v="0"/>
  </r>
  <r>
    <x v="6"/>
    <x v="6"/>
    <x v="5"/>
    <n v="2176"/>
    <s v="Standalone"/>
    <x v="0"/>
  </r>
  <r>
    <x v="6"/>
    <x v="7"/>
    <x v="6"/>
    <n v="1257"/>
    <s v="Total"/>
    <x v="0"/>
  </r>
  <r>
    <x v="6"/>
    <x v="8"/>
    <x v="6"/>
    <n v="646"/>
    <s v="Detail"/>
    <x v="1"/>
  </r>
  <r>
    <x v="6"/>
    <x v="9"/>
    <x v="6"/>
    <n v="0"/>
    <s v="Detail"/>
    <x v="1"/>
  </r>
  <r>
    <x v="6"/>
    <x v="10"/>
    <x v="6"/>
    <n v="1"/>
    <s v="Detail"/>
    <x v="1"/>
  </r>
  <r>
    <x v="6"/>
    <x v="11"/>
    <x v="6"/>
    <n v="567"/>
    <s v="Total"/>
    <x v="1"/>
  </r>
  <r>
    <x v="6"/>
    <x v="12"/>
    <x v="6"/>
    <n v="43"/>
    <s v="Detail"/>
    <x v="1"/>
  </r>
  <r>
    <x v="6"/>
    <x v="13"/>
    <x v="6"/>
    <n v="524"/>
    <s v="Detail"/>
    <x v="1"/>
  </r>
  <r>
    <x v="6"/>
    <x v="14"/>
    <x v="6"/>
    <n v="1"/>
    <s v="Standalone"/>
    <x v="0"/>
  </r>
  <r>
    <x v="6"/>
    <x v="15"/>
    <x v="6"/>
    <n v="0"/>
    <s v="Standalone"/>
    <x v="0"/>
  </r>
  <r>
    <x v="6"/>
    <x v="16"/>
    <x v="6"/>
    <n v="42"/>
    <s v="Standalone"/>
    <x v="0"/>
  </r>
  <r>
    <x v="6"/>
    <x v="17"/>
    <x v="7"/>
    <n v="3"/>
    <s v="Standalone"/>
    <x v="0"/>
  </r>
  <r>
    <x v="6"/>
    <x v="18"/>
    <x v="7"/>
    <n v="0"/>
    <s v="Standalone"/>
    <x v="0"/>
  </r>
  <r>
    <x v="6"/>
    <x v="19"/>
    <x v="7"/>
    <n v="0"/>
    <s v="Standalone"/>
    <x v="0"/>
  </r>
  <r>
    <x v="6"/>
    <x v="20"/>
    <x v="8"/>
    <n v="634"/>
    <s v="Total"/>
    <x v="0"/>
  </r>
  <r>
    <x v="6"/>
    <x v="21"/>
    <x v="8"/>
    <n v="632"/>
    <s v="Detail"/>
    <x v="1"/>
  </r>
  <r>
    <x v="6"/>
    <x v="22"/>
    <x v="8"/>
    <n v="2"/>
    <s v="Detail"/>
    <x v="1"/>
  </r>
  <r>
    <x v="6"/>
    <x v="23"/>
    <x v="9"/>
    <n v="0"/>
    <s v="Total"/>
    <x v="0"/>
  </r>
  <r>
    <x v="6"/>
    <x v="24"/>
    <x v="9"/>
    <n v="0"/>
    <s v="Detail"/>
    <x v="1"/>
  </r>
  <r>
    <x v="6"/>
    <x v="25"/>
    <x v="9"/>
    <n v="0"/>
    <s v="Detail"/>
    <x v="1"/>
  </r>
  <r>
    <x v="6"/>
    <x v="26"/>
    <x v="10"/>
    <n v="688"/>
    <s v="Total"/>
    <x v="0"/>
  </r>
  <r>
    <x v="6"/>
    <x v="27"/>
    <x v="10"/>
    <n v="622"/>
    <s v="Detail"/>
    <x v="1"/>
  </r>
  <r>
    <x v="6"/>
    <x v="28"/>
    <x v="10"/>
    <n v="66"/>
    <s v="Detail"/>
    <x v="1"/>
  </r>
  <r>
    <x v="6"/>
    <x v="29"/>
    <x v="11"/>
    <n v="15"/>
    <s v="Total"/>
    <x v="0"/>
  </r>
  <r>
    <x v="6"/>
    <x v="30"/>
    <x v="11"/>
    <n v="15"/>
    <s v="Detail"/>
    <x v="1"/>
  </r>
  <r>
    <x v="6"/>
    <x v="31"/>
    <x v="11"/>
    <n v="0"/>
    <s v="Detail"/>
    <x v="1"/>
  </r>
  <r>
    <x v="6"/>
    <x v="32"/>
    <x v="12"/>
    <n v="3"/>
    <s v="Standalone"/>
    <x v="0"/>
  </r>
  <r>
    <x v="6"/>
    <x v="33"/>
    <x v="13"/>
    <n v="80"/>
    <s v="Total"/>
    <x v="0"/>
  </r>
  <r>
    <x v="6"/>
    <x v="34"/>
    <x v="13"/>
    <n v="6"/>
    <s v="Detail"/>
    <x v="1"/>
  </r>
  <r>
    <x v="6"/>
    <x v="35"/>
    <x v="13"/>
    <n v="22"/>
    <s v="Detail"/>
    <x v="1"/>
  </r>
  <r>
    <x v="6"/>
    <x v="36"/>
    <x v="13"/>
    <n v="42"/>
    <s v="Detail"/>
    <x v="1"/>
  </r>
  <r>
    <x v="6"/>
    <x v="37"/>
    <x v="13"/>
    <n v="1"/>
    <s v="Detail"/>
    <x v="1"/>
  </r>
  <r>
    <x v="6"/>
    <x v="38"/>
    <x v="13"/>
    <n v="9"/>
    <s v="Detail"/>
    <x v="1"/>
  </r>
  <r>
    <x v="6"/>
    <x v="39"/>
    <x v="5"/>
    <n v="2"/>
    <s v="Standalone"/>
    <x v="0"/>
  </r>
  <r>
    <x v="6"/>
    <x v="40"/>
    <x v="14"/>
    <n v="54"/>
    <s v="Total"/>
    <x v="0"/>
  </r>
  <r>
    <x v="6"/>
    <x v="41"/>
    <x v="14"/>
    <n v="45"/>
    <s v="Detail"/>
    <x v="1"/>
  </r>
  <r>
    <x v="6"/>
    <x v="42"/>
    <x v="14"/>
    <n v="9"/>
    <s v="Detail"/>
    <x v="1"/>
  </r>
  <r>
    <x v="6"/>
    <x v="43"/>
    <x v="15"/>
    <n v="2548"/>
    <s v="Total"/>
    <x v="0"/>
  </r>
  <r>
    <x v="6"/>
    <x v="44"/>
    <x v="15"/>
    <n v="2279"/>
    <s v="Detail"/>
    <x v="1"/>
  </r>
  <r>
    <x v="6"/>
    <x v="45"/>
    <x v="15"/>
    <n v="232"/>
    <s v="Detail"/>
    <x v="1"/>
  </r>
  <r>
    <x v="6"/>
    <x v="46"/>
    <x v="15"/>
    <n v="25"/>
    <s v="Detail"/>
    <x v="1"/>
  </r>
  <r>
    <x v="6"/>
    <x v="47"/>
    <x v="15"/>
    <n v="6"/>
    <s v="Detail"/>
    <x v="1"/>
  </r>
  <r>
    <x v="6"/>
    <x v="48"/>
    <x v="15"/>
    <n v="5"/>
    <s v="Detail"/>
    <x v="1"/>
  </r>
  <r>
    <x v="6"/>
    <x v="49"/>
    <x v="15"/>
    <n v="1"/>
    <s v="Detail"/>
    <x v="1"/>
  </r>
  <r>
    <x v="6"/>
    <x v="50"/>
    <x v="16"/>
    <n v="0"/>
    <s v="Standalone"/>
    <x v="0"/>
  </r>
  <r>
    <x v="7"/>
    <x v="0"/>
    <x v="0"/>
    <n v="9"/>
    <s v="Standalone"/>
    <x v="0"/>
  </r>
  <r>
    <x v="7"/>
    <x v="1"/>
    <x v="1"/>
    <n v="207"/>
    <s v="Standalone"/>
    <x v="0"/>
  </r>
  <r>
    <x v="7"/>
    <x v="2"/>
    <x v="2"/>
    <n v="178"/>
    <s v="Standalone"/>
    <x v="0"/>
  </r>
  <r>
    <x v="7"/>
    <x v="3"/>
    <x v="3"/>
    <n v="50"/>
    <s v="Standalone"/>
    <x v="0"/>
  </r>
  <r>
    <x v="7"/>
    <x v="4"/>
    <x v="4"/>
    <n v="3"/>
    <s v="Standalone"/>
    <x v="0"/>
  </r>
  <r>
    <x v="7"/>
    <x v="5"/>
    <x v="4"/>
    <n v="1"/>
    <s v="Standalone"/>
    <x v="0"/>
  </r>
  <r>
    <x v="7"/>
    <x v="6"/>
    <x v="5"/>
    <n v="5191"/>
    <s v="Standalone"/>
    <x v="0"/>
  </r>
  <r>
    <x v="7"/>
    <x v="7"/>
    <x v="6"/>
    <n v="3204"/>
    <s v="Total"/>
    <x v="0"/>
  </r>
  <r>
    <x v="7"/>
    <x v="8"/>
    <x v="6"/>
    <n v="366"/>
    <s v="Detail"/>
    <x v="1"/>
  </r>
  <r>
    <x v="7"/>
    <x v="9"/>
    <x v="6"/>
    <n v="3"/>
    <s v="Detail"/>
    <x v="1"/>
  </r>
  <r>
    <x v="7"/>
    <x v="10"/>
    <x v="6"/>
    <n v="0"/>
    <s v="Detail"/>
    <x v="1"/>
  </r>
  <r>
    <x v="7"/>
    <x v="11"/>
    <x v="6"/>
    <n v="968"/>
    <s v="Total"/>
    <x v="1"/>
  </r>
  <r>
    <x v="7"/>
    <x v="12"/>
    <x v="6"/>
    <n v="656"/>
    <s v="Detail"/>
    <x v="1"/>
  </r>
  <r>
    <x v="7"/>
    <x v="13"/>
    <x v="6"/>
    <n v="312"/>
    <s v="Detail"/>
    <x v="1"/>
  </r>
  <r>
    <x v="7"/>
    <x v="14"/>
    <x v="6"/>
    <n v="788"/>
    <s v="Standalone"/>
    <x v="0"/>
  </r>
  <r>
    <x v="7"/>
    <x v="15"/>
    <x v="6"/>
    <n v="0"/>
    <s v="Standalone"/>
    <x v="0"/>
  </r>
  <r>
    <x v="7"/>
    <x v="16"/>
    <x v="6"/>
    <n v="1079"/>
    <s v="Standalone"/>
    <x v="0"/>
  </r>
  <r>
    <x v="7"/>
    <x v="17"/>
    <x v="7"/>
    <n v="32"/>
    <s v="Standalone"/>
    <x v="0"/>
  </r>
  <r>
    <x v="7"/>
    <x v="18"/>
    <x v="7"/>
    <n v="0"/>
    <s v="Standalone"/>
    <x v="0"/>
  </r>
  <r>
    <x v="7"/>
    <x v="19"/>
    <x v="7"/>
    <n v="0"/>
    <s v="Standalone"/>
    <x v="0"/>
  </r>
  <r>
    <x v="7"/>
    <x v="20"/>
    <x v="8"/>
    <n v="1772"/>
    <s v="Total"/>
    <x v="0"/>
  </r>
  <r>
    <x v="7"/>
    <x v="21"/>
    <x v="8"/>
    <n v="1769"/>
    <s v="Detail"/>
    <x v="1"/>
  </r>
  <r>
    <x v="7"/>
    <x v="22"/>
    <x v="8"/>
    <n v="3"/>
    <s v="Detail"/>
    <x v="1"/>
  </r>
  <r>
    <x v="7"/>
    <x v="23"/>
    <x v="9"/>
    <n v="199"/>
    <s v="Total"/>
    <x v="0"/>
  </r>
  <r>
    <x v="7"/>
    <x v="24"/>
    <x v="9"/>
    <n v="199"/>
    <s v="Detail"/>
    <x v="1"/>
  </r>
  <r>
    <x v="7"/>
    <x v="25"/>
    <x v="9"/>
    <n v="0"/>
    <s v="Detail"/>
    <x v="1"/>
  </r>
  <r>
    <x v="7"/>
    <x v="26"/>
    <x v="10"/>
    <n v="2265"/>
    <s v="Total"/>
    <x v="0"/>
  </r>
  <r>
    <x v="7"/>
    <x v="27"/>
    <x v="10"/>
    <n v="2239"/>
    <s v="Detail"/>
    <x v="1"/>
  </r>
  <r>
    <x v="7"/>
    <x v="28"/>
    <x v="10"/>
    <n v="26"/>
    <s v="Detail"/>
    <x v="1"/>
  </r>
  <r>
    <x v="7"/>
    <x v="29"/>
    <x v="11"/>
    <n v="443"/>
    <s v="Total"/>
    <x v="0"/>
  </r>
  <r>
    <x v="7"/>
    <x v="30"/>
    <x v="11"/>
    <n v="442"/>
    <s v="Detail"/>
    <x v="1"/>
  </r>
  <r>
    <x v="7"/>
    <x v="31"/>
    <x v="11"/>
    <n v="1"/>
    <s v="Detail"/>
    <x v="1"/>
  </r>
  <r>
    <x v="7"/>
    <x v="32"/>
    <x v="12"/>
    <n v="14"/>
    <s v="Standalone"/>
    <x v="0"/>
  </r>
  <r>
    <x v="7"/>
    <x v="33"/>
    <x v="13"/>
    <n v="38"/>
    <s v="Total"/>
    <x v="0"/>
  </r>
  <r>
    <x v="7"/>
    <x v="34"/>
    <x v="13"/>
    <n v="11"/>
    <s v="Detail"/>
    <x v="1"/>
  </r>
  <r>
    <x v="7"/>
    <x v="35"/>
    <x v="13"/>
    <n v="2"/>
    <s v="Detail"/>
    <x v="1"/>
  </r>
  <r>
    <x v="7"/>
    <x v="36"/>
    <x v="13"/>
    <n v="9"/>
    <s v="Detail"/>
    <x v="1"/>
  </r>
  <r>
    <x v="7"/>
    <x v="37"/>
    <x v="13"/>
    <n v="0"/>
    <s v="Detail"/>
    <x v="1"/>
  </r>
  <r>
    <x v="7"/>
    <x v="38"/>
    <x v="13"/>
    <n v="16"/>
    <s v="Detail"/>
    <x v="1"/>
  </r>
  <r>
    <x v="7"/>
    <x v="39"/>
    <x v="5"/>
    <n v="5"/>
    <s v="Standalone"/>
    <x v="0"/>
  </r>
  <r>
    <x v="7"/>
    <x v="40"/>
    <x v="14"/>
    <n v="103"/>
    <s v="Total"/>
    <x v="0"/>
  </r>
  <r>
    <x v="7"/>
    <x v="41"/>
    <x v="14"/>
    <n v="96"/>
    <s v="Detail"/>
    <x v="1"/>
  </r>
  <r>
    <x v="7"/>
    <x v="42"/>
    <x v="14"/>
    <n v="7"/>
    <s v="Detail"/>
    <x v="1"/>
  </r>
  <r>
    <x v="7"/>
    <x v="43"/>
    <x v="15"/>
    <n v="2044"/>
    <s v="Total"/>
    <x v="0"/>
  </r>
  <r>
    <x v="7"/>
    <x v="44"/>
    <x v="15"/>
    <n v="1372"/>
    <s v="Detail"/>
    <x v="1"/>
  </r>
  <r>
    <x v="7"/>
    <x v="45"/>
    <x v="15"/>
    <n v="521"/>
    <s v="Detail"/>
    <x v="1"/>
  </r>
  <r>
    <x v="7"/>
    <x v="46"/>
    <x v="15"/>
    <n v="124"/>
    <s v="Detail"/>
    <x v="1"/>
  </r>
  <r>
    <x v="7"/>
    <x v="47"/>
    <x v="15"/>
    <n v="4"/>
    <s v="Detail"/>
    <x v="1"/>
  </r>
  <r>
    <x v="7"/>
    <x v="48"/>
    <x v="15"/>
    <n v="23"/>
    <s v="Detail"/>
    <x v="1"/>
  </r>
  <r>
    <x v="7"/>
    <x v="49"/>
    <x v="15"/>
    <n v="0"/>
    <s v="Detail"/>
    <x v="1"/>
  </r>
  <r>
    <x v="7"/>
    <x v="50"/>
    <x v="16"/>
    <n v="0"/>
    <s v="Standalone"/>
    <x v="0"/>
  </r>
  <r>
    <x v="8"/>
    <x v="0"/>
    <x v="0"/>
    <n v="6"/>
    <s v="Standalone"/>
    <x v="0"/>
  </r>
  <r>
    <x v="8"/>
    <x v="1"/>
    <x v="1"/>
    <n v="0"/>
    <s v="Standalone"/>
    <x v="0"/>
  </r>
  <r>
    <x v="8"/>
    <x v="2"/>
    <x v="2"/>
    <n v="39"/>
    <s v="Standalone"/>
    <x v="0"/>
  </r>
  <r>
    <x v="8"/>
    <x v="3"/>
    <x v="3"/>
    <n v="0"/>
    <s v="Standalone"/>
    <x v="0"/>
  </r>
  <r>
    <x v="8"/>
    <x v="4"/>
    <x v="4"/>
    <n v="0"/>
    <s v="Standalone"/>
    <x v="0"/>
  </r>
  <r>
    <x v="8"/>
    <x v="5"/>
    <x v="4"/>
    <n v="0"/>
    <s v="Standalone"/>
    <x v="0"/>
  </r>
  <r>
    <x v="8"/>
    <x v="6"/>
    <x v="5"/>
    <n v="217"/>
    <s v="Standalone"/>
    <x v="0"/>
  </r>
  <r>
    <x v="8"/>
    <x v="7"/>
    <x v="6"/>
    <n v="351"/>
    <s v="Total"/>
    <x v="0"/>
  </r>
  <r>
    <x v="8"/>
    <x v="8"/>
    <x v="6"/>
    <n v="200"/>
    <s v="Detail"/>
    <x v="1"/>
  </r>
  <r>
    <x v="8"/>
    <x v="9"/>
    <x v="6"/>
    <n v="0"/>
    <s v="Detail"/>
    <x v="1"/>
  </r>
  <r>
    <x v="8"/>
    <x v="10"/>
    <x v="6"/>
    <n v="0"/>
    <s v="Detail"/>
    <x v="1"/>
  </r>
  <r>
    <x v="8"/>
    <x v="11"/>
    <x v="6"/>
    <n v="144"/>
    <s v="Total"/>
    <x v="1"/>
  </r>
  <r>
    <x v="8"/>
    <x v="12"/>
    <x v="6"/>
    <n v="13"/>
    <s v="Detail"/>
    <x v="1"/>
  </r>
  <r>
    <x v="8"/>
    <x v="13"/>
    <x v="6"/>
    <n v="131"/>
    <s v="Detail"/>
    <x v="1"/>
  </r>
  <r>
    <x v="8"/>
    <x v="14"/>
    <x v="6"/>
    <n v="3"/>
    <s v="Standalone"/>
    <x v="0"/>
  </r>
  <r>
    <x v="8"/>
    <x v="15"/>
    <x v="6"/>
    <n v="0"/>
    <s v="Standalone"/>
    <x v="0"/>
  </r>
  <r>
    <x v="8"/>
    <x v="16"/>
    <x v="6"/>
    <n v="4"/>
    <s v="Standalone"/>
    <x v="0"/>
  </r>
  <r>
    <x v="8"/>
    <x v="17"/>
    <x v="7"/>
    <n v="5"/>
    <s v="Standalone"/>
    <x v="0"/>
  </r>
  <r>
    <x v="8"/>
    <x v="18"/>
    <x v="7"/>
    <n v="0"/>
    <s v="Standalone"/>
    <x v="0"/>
  </r>
  <r>
    <x v="8"/>
    <x v="19"/>
    <x v="7"/>
    <n v="0"/>
    <s v="Standalone"/>
    <x v="0"/>
  </r>
  <r>
    <x v="8"/>
    <x v="20"/>
    <x v="8"/>
    <n v="344"/>
    <s v="Total"/>
    <x v="0"/>
  </r>
  <r>
    <x v="8"/>
    <x v="21"/>
    <x v="8"/>
    <n v="138"/>
    <s v="Detail"/>
    <x v="1"/>
  </r>
  <r>
    <x v="8"/>
    <x v="22"/>
    <x v="8"/>
    <n v="206"/>
    <s v="Detail"/>
    <x v="1"/>
  </r>
  <r>
    <x v="8"/>
    <x v="23"/>
    <x v="9"/>
    <n v="3"/>
    <s v="Total"/>
    <x v="0"/>
  </r>
  <r>
    <x v="8"/>
    <x v="24"/>
    <x v="9"/>
    <n v="3"/>
    <s v="Detail"/>
    <x v="1"/>
  </r>
  <r>
    <x v="8"/>
    <x v="25"/>
    <x v="9"/>
    <n v="0"/>
    <s v="Detail"/>
    <x v="1"/>
  </r>
  <r>
    <x v="8"/>
    <x v="26"/>
    <x v="10"/>
    <n v="504"/>
    <s v="Total"/>
    <x v="0"/>
  </r>
  <r>
    <x v="8"/>
    <x v="27"/>
    <x v="10"/>
    <n v="448"/>
    <s v="Detail"/>
    <x v="1"/>
  </r>
  <r>
    <x v="8"/>
    <x v="28"/>
    <x v="10"/>
    <n v="56"/>
    <s v="Detail"/>
    <x v="1"/>
  </r>
  <r>
    <x v="8"/>
    <x v="29"/>
    <x v="11"/>
    <n v="97"/>
    <s v="Total"/>
    <x v="0"/>
  </r>
  <r>
    <x v="8"/>
    <x v="30"/>
    <x v="11"/>
    <n v="97"/>
    <s v="Detail"/>
    <x v="1"/>
  </r>
  <r>
    <x v="8"/>
    <x v="31"/>
    <x v="11"/>
    <n v="0"/>
    <s v="Detail"/>
    <x v="1"/>
  </r>
  <r>
    <x v="8"/>
    <x v="32"/>
    <x v="12"/>
    <n v="2"/>
    <s v="Standalone"/>
    <x v="0"/>
  </r>
  <r>
    <x v="8"/>
    <x v="33"/>
    <x v="13"/>
    <n v="10"/>
    <s v="Total"/>
    <x v="0"/>
  </r>
  <r>
    <x v="8"/>
    <x v="34"/>
    <x v="13"/>
    <n v="6"/>
    <s v="Detail"/>
    <x v="1"/>
  </r>
  <r>
    <x v="8"/>
    <x v="35"/>
    <x v="13"/>
    <n v="0"/>
    <s v="Detail"/>
    <x v="1"/>
  </r>
  <r>
    <x v="8"/>
    <x v="36"/>
    <x v="13"/>
    <n v="0"/>
    <s v="Detail"/>
    <x v="1"/>
  </r>
  <r>
    <x v="8"/>
    <x v="37"/>
    <x v="13"/>
    <n v="0"/>
    <s v="Detail"/>
    <x v="1"/>
  </r>
  <r>
    <x v="8"/>
    <x v="38"/>
    <x v="13"/>
    <n v="4"/>
    <s v="Detail"/>
    <x v="1"/>
  </r>
  <r>
    <x v="8"/>
    <x v="39"/>
    <x v="5"/>
    <n v="2"/>
    <s v="Standalone"/>
    <x v="0"/>
  </r>
  <r>
    <x v="8"/>
    <x v="40"/>
    <x v="14"/>
    <n v="21"/>
    <s v="Total"/>
    <x v="0"/>
  </r>
  <r>
    <x v="8"/>
    <x v="41"/>
    <x v="14"/>
    <n v="21"/>
    <s v="Detail"/>
    <x v="1"/>
  </r>
  <r>
    <x v="8"/>
    <x v="42"/>
    <x v="14"/>
    <n v="0"/>
    <s v="Detail"/>
    <x v="1"/>
  </r>
  <r>
    <x v="8"/>
    <x v="43"/>
    <x v="15"/>
    <n v="3"/>
    <s v="Total"/>
    <x v="0"/>
  </r>
  <r>
    <x v="8"/>
    <x v="44"/>
    <x v="15"/>
    <n v="0"/>
    <s v="Detail"/>
    <x v="1"/>
  </r>
  <r>
    <x v="8"/>
    <x v="45"/>
    <x v="15"/>
    <n v="0"/>
    <s v="Detail"/>
    <x v="1"/>
  </r>
  <r>
    <x v="8"/>
    <x v="46"/>
    <x v="15"/>
    <n v="2"/>
    <s v="Detail"/>
    <x v="1"/>
  </r>
  <r>
    <x v="8"/>
    <x v="47"/>
    <x v="15"/>
    <n v="1"/>
    <s v="Detail"/>
    <x v="1"/>
  </r>
  <r>
    <x v="8"/>
    <x v="48"/>
    <x v="15"/>
    <n v="0"/>
    <s v="Detail"/>
    <x v="1"/>
  </r>
  <r>
    <x v="8"/>
    <x v="49"/>
    <x v="15"/>
    <n v="0"/>
    <s v="Detail"/>
    <x v="1"/>
  </r>
  <r>
    <x v="8"/>
    <x v="50"/>
    <x v="16"/>
    <n v="0"/>
    <s v="Standalone"/>
    <x v="0"/>
  </r>
  <r>
    <x v="9"/>
    <x v="0"/>
    <x v="0"/>
    <n v="3"/>
    <s v="Standalone"/>
    <x v="0"/>
  </r>
  <r>
    <x v="9"/>
    <x v="1"/>
    <x v="1"/>
    <n v="218"/>
    <s v="Standalone"/>
    <x v="0"/>
  </r>
  <r>
    <x v="9"/>
    <x v="2"/>
    <x v="2"/>
    <n v="45"/>
    <s v="Standalone"/>
    <x v="0"/>
  </r>
  <r>
    <x v="9"/>
    <x v="3"/>
    <x v="3"/>
    <n v="3"/>
    <s v="Standalone"/>
    <x v="0"/>
  </r>
  <r>
    <x v="9"/>
    <x v="4"/>
    <x v="4"/>
    <n v="1"/>
    <s v="Standalone"/>
    <x v="0"/>
  </r>
  <r>
    <x v="9"/>
    <x v="5"/>
    <x v="4"/>
    <n v="0"/>
    <s v="Standalone"/>
    <x v="0"/>
  </r>
  <r>
    <x v="9"/>
    <x v="6"/>
    <x v="5"/>
    <n v="770"/>
    <s v="Standalone"/>
    <x v="0"/>
  </r>
  <r>
    <x v="9"/>
    <x v="7"/>
    <x v="6"/>
    <n v="1253"/>
    <s v="Total"/>
    <x v="0"/>
  </r>
  <r>
    <x v="9"/>
    <x v="8"/>
    <x v="6"/>
    <n v="93"/>
    <s v="Detail"/>
    <x v="1"/>
  </r>
  <r>
    <x v="9"/>
    <x v="9"/>
    <x v="6"/>
    <n v="4"/>
    <s v="Detail"/>
    <x v="1"/>
  </r>
  <r>
    <x v="9"/>
    <x v="10"/>
    <x v="6"/>
    <n v="5"/>
    <s v="Detail"/>
    <x v="1"/>
  </r>
  <r>
    <x v="9"/>
    <x v="11"/>
    <x v="6"/>
    <n v="775"/>
    <s v="Total"/>
    <x v="1"/>
  </r>
  <r>
    <x v="9"/>
    <x v="12"/>
    <x v="6"/>
    <n v="620"/>
    <s v="Detail"/>
    <x v="1"/>
  </r>
  <r>
    <x v="9"/>
    <x v="13"/>
    <x v="6"/>
    <n v="155"/>
    <s v="Detail"/>
    <x v="1"/>
  </r>
  <r>
    <x v="9"/>
    <x v="14"/>
    <x v="6"/>
    <n v="319"/>
    <s v="Standalone"/>
    <x v="0"/>
  </r>
  <r>
    <x v="9"/>
    <x v="15"/>
    <x v="6"/>
    <n v="0"/>
    <s v="Standalone"/>
    <x v="0"/>
  </r>
  <r>
    <x v="9"/>
    <x v="16"/>
    <x v="6"/>
    <n v="57"/>
    <s v="Standalone"/>
    <x v="0"/>
  </r>
  <r>
    <x v="9"/>
    <x v="17"/>
    <x v="7"/>
    <n v="37"/>
    <s v="Standalone"/>
    <x v="0"/>
  </r>
  <r>
    <x v="9"/>
    <x v="18"/>
    <x v="7"/>
    <n v="0"/>
    <s v="Standalone"/>
    <x v="0"/>
  </r>
  <r>
    <x v="9"/>
    <x v="19"/>
    <x v="7"/>
    <n v="0"/>
    <s v="Standalone"/>
    <x v="0"/>
  </r>
  <r>
    <x v="9"/>
    <x v="20"/>
    <x v="8"/>
    <n v="1221"/>
    <s v="Total"/>
    <x v="0"/>
  </r>
  <r>
    <x v="9"/>
    <x v="21"/>
    <x v="8"/>
    <n v="1071"/>
    <s v="Detail"/>
    <x v="1"/>
  </r>
  <r>
    <x v="9"/>
    <x v="22"/>
    <x v="8"/>
    <n v="150"/>
    <s v="Detail"/>
    <x v="1"/>
  </r>
  <r>
    <x v="9"/>
    <x v="23"/>
    <x v="9"/>
    <n v="66"/>
    <s v="Total"/>
    <x v="0"/>
  </r>
  <r>
    <x v="9"/>
    <x v="24"/>
    <x v="9"/>
    <n v="64"/>
    <s v="Detail"/>
    <x v="1"/>
  </r>
  <r>
    <x v="9"/>
    <x v="25"/>
    <x v="9"/>
    <n v="2"/>
    <s v="Detail"/>
    <x v="1"/>
  </r>
  <r>
    <x v="9"/>
    <x v="26"/>
    <x v="10"/>
    <n v="944"/>
    <s v="Total"/>
    <x v="0"/>
  </r>
  <r>
    <x v="9"/>
    <x v="27"/>
    <x v="10"/>
    <n v="942"/>
    <s v="Detail"/>
    <x v="1"/>
  </r>
  <r>
    <x v="9"/>
    <x v="28"/>
    <x v="10"/>
    <n v="2"/>
    <s v="Detail"/>
    <x v="1"/>
  </r>
  <r>
    <x v="9"/>
    <x v="29"/>
    <x v="11"/>
    <n v="4"/>
    <s v="Total"/>
    <x v="0"/>
  </r>
  <r>
    <x v="9"/>
    <x v="30"/>
    <x v="11"/>
    <n v="4"/>
    <s v="Detail"/>
    <x v="1"/>
  </r>
  <r>
    <x v="9"/>
    <x v="31"/>
    <x v="11"/>
    <n v="0"/>
    <s v="Detail"/>
    <x v="1"/>
  </r>
  <r>
    <x v="9"/>
    <x v="32"/>
    <x v="12"/>
    <n v="1487"/>
    <s v="Standalone"/>
    <x v="0"/>
  </r>
  <r>
    <x v="9"/>
    <x v="33"/>
    <x v="13"/>
    <n v="2"/>
    <s v="Total"/>
    <x v="0"/>
  </r>
  <r>
    <x v="9"/>
    <x v="34"/>
    <x v="13"/>
    <n v="0"/>
    <s v="Detail"/>
    <x v="1"/>
  </r>
  <r>
    <x v="9"/>
    <x v="35"/>
    <x v="13"/>
    <n v="1"/>
    <s v="Detail"/>
    <x v="1"/>
  </r>
  <r>
    <x v="9"/>
    <x v="36"/>
    <x v="13"/>
    <n v="0"/>
    <s v="Detail"/>
    <x v="1"/>
  </r>
  <r>
    <x v="9"/>
    <x v="37"/>
    <x v="13"/>
    <n v="0"/>
    <s v="Detail"/>
    <x v="1"/>
  </r>
  <r>
    <x v="9"/>
    <x v="38"/>
    <x v="13"/>
    <n v="1"/>
    <s v="Detail"/>
    <x v="1"/>
  </r>
  <r>
    <x v="9"/>
    <x v="39"/>
    <x v="5"/>
    <n v="96"/>
    <s v="Standalone"/>
    <x v="0"/>
  </r>
  <r>
    <x v="9"/>
    <x v="40"/>
    <x v="14"/>
    <n v="12"/>
    <s v="Total"/>
    <x v="0"/>
  </r>
  <r>
    <x v="9"/>
    <x v="41"/>
    <x v="14"/>
    <n v="12"/>
    <s v="Detail"/>
    <x v="1"/>
  </r>
  <r>
    <x v="9"/>
    <x v="42"/>
    <x v="14"/>
    <n v="0"/>
    <s v="Detail"/>
    <x v="1"/>
  </r>
  <r>
    <x v="9"/>
    <x v="43"/>
    <x v="15"/>
    <n v="827"/>
    <s v="Total"/>
    <x v="0"/>
  </r>
  <r>
    <x v="9"/>
    <x v="44"/>
    <x v="15"/>
    <n v="657"/>
    <s v="Detail"/>
    <x v="1"/>
  </r>
  <r>
    <x v="9"/>
    <x v="45"/>
    <x v="15"/>
    <n v="93"/>
    <s v="Detail"/>
    <x v="1"/>
  </r>
  <r>
    <x v="9"/>
    <x v="46"/>
    <x v="15"/>
    <n v="69"/>
    <s v="Detail"/>
    <x v="1"/>
  </r>
  <r>
    <x v="9"/>
    <x v="47"/>
    <x v="15"/>
    <n v="7"/>
    <s v="Detail"/>
    <x v="1"/>
  </r>
  <r>
    <x v="9"/>
    <x v="48"/>
    <x v="15"/>
    <n v="1"/>
    <s v="Detail"/>
    <x v="1"/>
  </r>
  <r>
    <x v="9"/>
    <x v="49"/>
    <x v="15"/>
    <n v="0"/>
    <s v="Detail"/>
    <x v="1"/>
  </r>
  <r>
    <x v="9"/>
    <x v="50"/>
    <x v="16"/>
    <n v="0"/>
    <s v="Standalone"/>
    <x v="0"/>
  </r>
  <r>
    <x v="10"/>
    <x v="0"/>
    <x v="0"/>
    <n v="6"/>
    <s v="Standalone"/>
    <x v="0"/>
  </r>
  <r>
    <x v="10"/>
    <x v="1"/>
    <x v="1"/>
    <n v="156"/>
    <s v="Standalone"/>
    <x v="0"/>
  </r>
  <r>
    <x v="10"/>
    <x v="2"/>
    <x v="2"/>
    <n v="274"/>
    <s v="Standalone"/>
    <x v="0"/>
  </r>
  <r>
    <x v="10"/>
    <x v="3"/>
    <x v="3"/>
    <n v="11"/>
    <s v="Standalone"/>
    <x v="0"/>
  </r>
  <r>
    <x v="10"/>
    <x v="4"/>
    <x v="4"/>
    <n v="0"/>
    <s v="Standalone"/>
    <x v="0"/>
  </r>
  <r>
    <x v="10"/>
    <x v="5"/>
    <x v="4"/>
    <n v="4"/>
    <s v="Standalone"/>
    <x v="0"/>
  </r>
  <r>
    <x v="10"/>
    <x v="6"/>
    <x v="5"/>
    <n v="3000"/>
    <s v="Standalone"/>
    <x v="0"/>
  </r>
  <r>
    <x v="10"/>
    <x v="7"/>
    <x v="6"/>
    <n v="2327"/>
    <s v="Total"/>
    <x v="0"/>
  </r>
  <r>
    <x v="10"/>
    <x v="8"/>
    <x v="6"/>
    <n v="2256"/>
    <s v="Detail"/>
    <x v="1"/>
  </r>
  <r>
    <x v="10"/>
    <x v="9"/>
    <x v="6"/>
    <n v="1"/>
    <s v="Detail"/>
    <x v="1"/>
  </r>
  <r>
    <x v="10"/>
    <x v="10"/>
    <x v="6"/>
    <n v="18"/>
    <s v="Detail"/>
    <x v="1"/>
  </r>
  <r>
    <x v="10"/>
    <x v="11"/>
    <x v="6"/>
    <n v="29"/>
    <s v="Total"/>
    <x v="1"/>
  </r>
  <r>
    <x v="10"/>
    <x v="12"/>
    <x v="6"/>
    <n v="21"/>
    <s v="Detail"/>
    <x v="1"/>
  </r>
  <r>
    <x v="10"/>
    <x v="13"/>
    <x v="6"/>
    <n v="8"/>
    <s v="Detail"/>
    <x v="1"/>
  </r>
  <r>
    <x v="10"/>
    <x v="14"/>
    <x v="6"/>
    <n v="5"/>
    <s v="Standalone"/>
    <x v="0"/>
  </r>
  <r>
    <x v="10"/>
    <x v="15"/>
    <x v="6"/>
    <n v="0"/>
    <s v="Standalone"/>
    <x v="0"/>
  </r>
  <r>
    <x v="10"/>
    <x v="16"/>
    <x v="6"/>
    <n v="18"/>
    <s v="Standalone"/>
    <x v="0"/>
  </r>
  <r>
    <x v="10"/>
    <x v="17"/>
    <x v="7"/>
    <n v="11"/>
    <s v="Standalone"/>
    <x v="0"/>
  </r>
  <r>
    <x v="10"/>
    <x v="18"/>
    <x v="7"/>
    <n v="0"/>
    <s v="Standalone"/>
    <x v="0"/>
  </r>
  <r>
    <x v="10"/>
    <x v="19"/>
    <x v="7"/>
    <n v="0"/>
    <s v="Standalone"/>
    <x v="0"/>
  </r>
  <r>
    <x v="10"/>
    <x v="20"/>
    <x v="8"/>
    <n v="656"/>
    <s v="Total"/>
    <x v="0"/>
  </r>
  <r>
    <x v="10"/>
    <x v="21"/>
    <x v="8"/>
    <n v="656"/>
    <s v="Detail"/>
    <x v="1"/>
  </r>
  <r>
    <x v="10"/>
    <x v="22"/>
    <x v="8"/>
    <n v="0"/>
    <s v="Detail"/>
    <x v="1"/>
  </r>
  <r>
    <x v="10"/>
    <x v="23"/>
    <x v="9"/>
    <n v="10"/>
    <s v="Total"/>
    <x v="0"/>
  </r>
  <r>
    <x v="10"/>
    <x v="24"/>
    <x v="9"/>
    <n v="9"/>
    <s v="Detail"/>
    <x v="1"/>
  </r>
  <r>
    <x v="10"/>
    <x v="25"/>
    <x v="9"/>
    <n v="1"/>
    <s v="Detail"/>
    <x v="1"/>
  </r>
  <r>
    <x v="10"/>
    <x v="26"/>
    <x v="10"/>
    <n v="6790"/>
    <s v="Total"/>
    <x v="0"/>
  </r>
  <r>
    <x v="10"/>
    <x v="27"/>
    <x v="10"/>
    <n v="6789"/>
    <s v="Detail"/>
    <x v="1"/>
  </r>
  <r>
    <x v="10"/>
    <x v="28"/>
    <x v="10"/>
    <n v="1"/>
    <s v="Detail"/>
    <x v="1"/>
  </r>
  <r>
    <x v="10"/>
    <x v="29"/>
    <x v="11"/>
    <n v="148"/>
    <s v="Total"/>
    <x v="0"/>
  </r>
  <r>
    <x v="10"/>
    <x v="30"/>
    <x v="11"/>
    <n v="148"/>
    <s v="Detail"/>
    <x v="1"/>
  </r>
  <r>
    <x v="10"/>
    <x v="31"/>
    <x v="11"/>
    <n v="0"/>
    <s v="Detail"/>
    <x v="1"/>
  </r>
  <r>
    <x v="10"/>
    <x v="32"/>
    <x v="12"/>
    <n v="2322"/>
    <s v="Standalone"/>
    <x v="0"/>
  </r>
  <r>
    <x v="10"/>
    <x v="33"/>
    <x v="13"/>
    <n v="308"/>
    <s v="Total"/>
    <x v="0"/>
  </r>
  <r>
    <x v="10"/>
    <x v="34"/>
    <x v="13"/>
    <n v="106"/>
    <s v="Detail"/>
    <x v="1"/>
  </r>
  <r>
    <x v="10"/>
    <x v="35"/>
    <x v="13"/>
    <n v="94"/>
    <s v="Detail"/>
    <x v="1"/>
  </r>
  <r>
    <x v="10"/>
    <x v="36"/>
    <x v="13"/>
    <n v="37"/>
    <s v="Detail"/>
    <x v="1"/>
  </r>
  <r>
    <x v="10"/>
    <x v="37"/>
    <x v="13"/>
    <n v="3"/>
    <s v="Detail"/>
    <x v="1"/>
  </r>
  <r>
    <x v="10"/>
    <x v="38"/>
    <x v="13"/>
    <n v="68"/>
    <s v="Detail"/>
    <x v="1"/>
  </r>
  <r>
    <x v="10"/>
    <x v="39"/>
    <x v="5"/>
    <n v="0"/>
    <s v="Standalone"/>
    <x v="0"/>
  </r>
  <r>
    <x v="10"/>
    <x v="40"/>
    <x v="14"/>
    <n v="458"/>
    <s v="Total"/>
    <x v="0"/>
  </r>
  <r>
    <x v="10"/>
    <x v="41"/>
    <x v="14"/>
    <n v="457"/>
    <s v="Detail"/>
    <x v="1"/>
  </r>
  <r>
    <x v="10"/>
    <x v="42"/>
    <x v="14"/>
    <n v="1"/>
    <s v="Detail"/>
    <x v="1"/>
  </r>
  <r>
    <x v="10"/>
    <x v="43"/>
    <x v="15"/>
    <n v="3854"/>
    <s v="Total"/>
    <x v="0"/>
  </r>
  <r>
    <x v="10"/>
    <x v="44"/>
    <x v="15"/>
    <n v="3099"/>
    <s v="Detail"/>
    <x v="1"/>
  </r>
  <r>
    <x v="10"/>
    <x v="45"/>
    <x v="15"/>
    <n v="506"/>
    <s v="Detail"/>
    <x v="1"/>
  </r>
  <r>
    <x v="10"/>
    <x v="46"/>
    <x v="15"/>
    <n v="196"/>
    <s v="Detail"/>
    <x v="1"/>
  </r>
  <r>
    <x v="10"/>
    <x v="47"/>
    <x v="15"/>
    <n v="30"/>
    <s v="Detail"/>
    <x v="1"/>
  </r>
  <r>
    <x v="10"/>
    <x v="48"/>
    <x v="15"/>
    <n v="22"/>
    <s v="Detail"/>
    <x v="1"/>
  </r>
  <r>
    <x v="10"/>
    <x v="49"/>
    <x v="15"/>
    <n v="1"/>
    <s v="Detail"/>
    <x v="1"/>
  </r>
  <r>
    <x v="10"/>
    <x v="50"/>
    <x v="16"/>
    <n v="1"/>
    <s v="Standalone"/>
    <x v="0"/>
  </r>
  <r>
    <x v="11"/>
    <x v="0"/>
    <x v="0"/>
    <n v="4"/>
    <s v="Standalone"/>
    <x v="0"/>
  </r>
  <r>
    <x v="11"/>
    <x v="1"/>
    <x v="1"/>
    <n v="8"/>
    <s v="Standalone"/>
    <x v="0"/>
  </r>
  <r>
    <x v="11"/>
    <x v="2"/>
    <x v="2"/>
    <n v="47"/>
    <s v="Standalone"/>
    <x v="0"/>
  </r>
  <r>
    <x v="11"/>
    <x v="3"/>
    <x v="3"/>
    <n v="1"/>
    <s v="Standalone"/>
    <x v="0"/>
  </r>
  <r>
    <x v="11"/>
    <x v="4"/>
    <x v="4"/>
    <n v="5"/>
    <s v="Standalone"/>
    <x v="0"/>
  </r>
  <r>
    <x v="11"/>
    <x v="5"/>
    <x v="4"/>
    <n v="4"/>
    <s v="Standalone"/>
    <x v="0"/>
  </r>
  <r>
    <x v="11"/>
    <x v="6"/>
    <x v="5"/>
    <n v="4710"/>
    <s v="Standalone"/>
    <x v="0"/>
  </r>
  <r>
    <x v="11"/>
    <x v="7"/>
    <x v="6"/>
    <n v="191"/>
    <s v="Total"/>
    <x v="0"/>
  </r>
  <r>
    <x v="11"/>
    <x v="8"/>
    <x v="6"/>
    <n v="104"/>
    <s v="Detail"/>
    <x v="1"/>
  </r>
  <r>
    <x v="11"/>
    <x v="9"/>
    <x v="6"/>
    <n v="1"/>
    <s v="Detail"/>
    <x v="1"/>
  </r>
  <r>
    <x v="11"/>
    <x v="10"/>
    <x v="6"/>
    <n v="0"/>
    <s v="Detail"/>
    <x v="1"/>
  </r>
  <r>
    <x v="11"/>
    <x v="11"/>
    <x v="6"/>
    <n v="39"/>
    <s v="Total"/>
    <x v="1"/>
  </r>
  <r>
    <x v="11"/>
    <x v="12"/>
    <x v="6"/>
    <n v="15"/>
    <s v="Detail"/>
    <x v="1"/>
  </r>
  <r>
    <x v="11"/>
    <x v="13"/>
    <x v="6"/>
    <n v="24"/>
    <s v="Detail"/>
    <x v="1"/>
  </r>
  <r>
    <x v="11"/>
    <x v="14"/>
    <x v="6"/>
    <n v="2"/>
    <s v="Standalone"/>
    <x v="0"/>
  </r>
  <r>
    <x v="11"/>
    <x v="15"/>
    <x v="6"/>
    <n v="0"/>
    <s v="Standalone"/>
    <x v="0"/>
  </r>
  <r>
    <x v="11"/>
    <x v="16"/>
    <x v="6"/>
    <n v="45"/>
    <s v="Standalone"/>
    <x v="0"/>
  </r>
  <r>
    <x v="11"/>
    <x v="17"/>
    <x v="7"/>
    <n v="15"/>
    <s v="Standalone"/>
    <x v="0"/>
  </r>
  <r>
    <x v="11"/>
    <x v="18"/>
    <x v="7"/>
    <n v="0"/>
    <s v="Standalone"/>
    <x v="0"/>
  </r>
  <r>
    <x v="11"/>
    <x v="19"/>
    <x v="7"/>
    <n v="0"/>
    <s v="Standalone"/>
    <x v="0"/>
  </r>
  <r>
    <x v="11"/>
    <x v="20"/>
    <x v="8"/>
    <n v="843"/>
    <s v="Total"/>
    <x v="0"/>
  </r>
  <r>
    <x v="11"/>
    <x v="21"/>
    <x v="8"/>
    <n v="843"/>
    <s v="Detail"/>
    <x v="1"/>
  </r>
  <r>
    <x v="11"/>
    <x v="22"/>
    <x v="8"/>
    <n v="0"/>
    <s v="Detail"/>
    <x v="1"/>
  </r>
  <r>
    <x v="11"/>
    <x v="23"/>
    <x v="9"/>
    <n v="54"/>
    <s v="Total"/>
    <x v="0"/>
  </r>
  <r>
    <x v="11"/>
    <x v="24"/>
    <x v="9"/>
    <n v="54"/>
    <s v="Detail"/>
    <x v="1"/>
  </r>
  <r>
    <x v="11"/>
    <x v="25"/>
    <x v="9"/>
    <n v="0"/>
    <s v="Detail"/>
    <x v="1"/>
  </r>
  <r>
    <x v="11"/>
    <x v="26"/>
    <x v="10"/>
    <n v="4816"/>
    <s v="Total"/>
    <x v="0"/>
  </r>
  <r>
    <x v="11"/>
    <x v="27"/>
    <x v="10"/>
    <n v="4586"/>
    <s v="Detail"/>
    <x v="1"/>
  </r>
  <r>
    <x v="11"/>
    <x v="28"/>
    <x v="10"/>
    <n v="230"/>
    <s v="Detail"/>
    <x v="1"/>
  </r>
  <r>
    <x v="11"/>
    <x v="29"/>
    <x v="11"/>
    <n v="679"/>
    <s v="Total"/>
    <x v="0"/>
  </r>
  <r>
    <x v="11"/>
    <x v="30"/>
    <x v="11"/>
    <n v="671"/>
    <s v="Detail"/>
    <x v="1"/>
  </r>
  <r>
    <x v="11"/>
    <x v="31"/>
    <x v="11"/>
    <n v="8"/>
    <s v="Detail"/>
    <x v="1"/>
  </r>
  <r>
    <x v="11"/>
    <x v="32"/>
    <x v="12"/>
    <n v="21"/>
    <s v="Standalone"/>
    <x v="0"/>
  </r>
  <r>
    <x v="11"/>
    <x v="33"/>
    <x v="13"/>
    <n v="13"/>
    <s v="Total"/>
    <x v="0"/>
  </r>
  <r>
    <x v="11"/>
    <x v="34"/>
    <x v="13"/>
    <n v="0"/>
    <s v="Detail"/>
    <x v="1"/>
  </r>
  <r>
    <x v="11"/>
    <x v="35"/>
    <x v="13"/>
    <n v="1"/>
    <s v="Detail"/>
    <x v="1"/>
  </r>
  <r>
    <x v="11"/>
    <x v="36"/>
    <x v="13"/>
    <n v="3"/>
    <s v="Detail"/>
    <x v="1"/>
  </r>
  <r>
    <x v="11"/>
    <x v="37"/>
    <x v="13"/>
    <n v="1"/>
    <s v="Detail"/>
    <x v="1"/>
  </r>
  <r>
    <x v="11"/>
    <x v="38"/>
    <x v="13"/>
    <n v="8"/>
    <s v="Detail"/>
    <x v="1"/>
  </r>
  <r>
    <x v="11"/>
    <x v="39"/>
    <x v="5"/>
    <n v="480"/>
    <s v="Standalone"/>
    <x v="0"/>
  </r>
  <r>
    <x v="11"/>
    <x v="40"/>
    <x v="14"/>
    <n v="369"/>
    <s v="Total"/>
    <x v="0"/>
  </r>
  <r>
    <x v="11"/>
    <x v="41"/>
    <x v="14"/>
    <n v="333"/>
    <s v="Detail"/>
    <x v="1"/>
  </r>
  <r>
    <x v="11"/>
    <x v="42"/>
    <x v="14"/>
    <n v="36"/>
    <s v="Detail"/>
    <x v="1"/>
  </r>
  <r>
    <x v="11"/>
    <x v="43"/>
    <x v="15"/>
    <n v="3765"/>
    <s v="Total"/>
    <x v="0"/>
  </r>
  <r>
    <x v="11"/>
    <x v="44"/>
    <x v="15"/>
    <n v="1719"/>
    <s v="Detail"/>
    <x v="1"/>
  </r>
  <r>
    <x v="11"/>
    <x v="45"/>
    <x v="15"/>
    <n v="1529"/>
    <s v="Detail"/>
    <x v="1"/>
  </r>
  <r>
    <x v="11"/>
    <x v="46"/>
    <x v="15"/>
    <n v="469"/>
    <s v="Detail"/>
    <x v="1"/>
  </r>
  <r>
    <x v="11"/>
    <x v="47"/>
    <x v="15"/>
    <n v="34"/>
    <s v="Detail"/>
    <x v="1"/>
  </r>
  <r>
    <x v="11"/>
    <x v="48"/>
    <x v="15"/>
    <n v="14"/>
    <s v="Detail"/>
    <x v="1"/>
  </r>
  <r>
    <x v="11"/>
    <x v="49"/>
    <x v="15"/>
    <n v="0"/>
    <s v="Detail"/>
    <x v="1"/>
  </r>
  <r>
    <x v="11"/>
    <x v="50"/>
    <x v="16"/>
    <n v="0"/>
    <s v="Standalone"/>
    <x v="0"/>
  </r>
  <r>
    <x v="12"/>
    <x v="0"/>
    <x v="0"/>
    <n v="29"/>
    <s v="Standalone"/>
    <x v="0"/>
  </r>
  <r>
    <x v="12"/>
    <x v="1"/>
    <x v="1"/>
    <n v="468"/>
    <s v="Standalone"/>
    <x v="0"/>
  </r>
  <r>
    <x v="12"/>
    <x v="2"/>
    <x v="2"/>
    <n v="716"/>
    <s v="Standalone"/>
    <x v="0"/>
  </r>
  <r>
    <x v="12"/>
    <x v="3"/>
    <x v="3"/>
    <n v="24"/>
    <s v="Standalone"/>
    <x v="0"/>
  </r>
  <r>
    <x v="12"/>
    <x v="4"/>
    <x v="4"/>
    <n v="3"/>
    <s v="Standalone"/>
    <x v="0"/>
  </r>
  <r>
    <x v="12"/>
    <x v="5"/>
    <x v="4"/>
    <n v="2"/>
    <s v="Standalone"/>
    <x v="0"/>
  </r>
  <r>
    <x v="12"/>
    <x v="6"/>
    <x v="5"/>
    <n v="7577"/>
    <s v="Standalone"/>
    <x v="0"/>
  </r>
  <r>
    <x v="12"/>
    <x v="7"/>
    <x v="6"/>
    <n v="8557"/>
    <s v="Total"/>
    <x v="0"/>
  </r>
  <r>
    <x v="12"/>
    <x v="8"/>
    <x v="6"/>
    <n v="6833"/>
    <s v="Detail"/>
    <x v="1"/>
  </r>
  <r>
    <x v="12"/>
    <x v="9"/>
    <x v="6"/>
    <n v="1"/>
    <s v="Detail"/>
    <x v="1"/>
  </r>
  <r>
    <x v="12"/>
    <x v="10"/>
    <x v="6"/>
    <n v="3"/>
    <s v="Detail"/>
    <x v="1"/>
  </r>
  <r>
    <x v="12"/>
    <x v="11"/>
    <x v="6"/>
    <n v="1673"/>
    <s v="Total"/>
    <x v="1"/>
  </r>
  <r>
    <x v="12"/>
    <x v="12"/>
    <x v="6"/>
    <n v="51"/>
    <s v="Detail"/>
    <x v="1"/>
  </r>
  <r>
    <x v="12"/>
    <x v="13"/>
    <x v="6"/>
    <n v="1622"/>
    <s v="Detail"/>
    <x v="1"/>
  </r>
  <r>
    <x v="12"/>
    <x v="14"/>
    <x v="6"/>
    <n v="33"/>
    <s v="Standalone"/>
    <x v="0"/>
  </r>
  <r>
    <x v="12"/>
    <x v="15"/>
    <x v="6"/>
    <n v="0"/>
    <s v="Standalone"/>
    <x v="0"/>
  </r>
  <r>
    <x v="12"/>
    <x v="16"/>
    <x v="6"/>
    <n v="14"/>
    <s v="Standalone"/>
    <x v="0"/>
  </r>
  <r>
    <x v="12"/>
    <x v="17"/>
    <x v="7"/>
    <n v="33"/>
    <s v="Standalone"/>
    <x v="0"/>
  </r>
  <r>
    <x v="12"/>
    <x v="18"/>
    <x v="7"/>
    <n v="2"/>
    <s v="Standalone"/>
    <x v="0"/>
  </r>
  <r>
    <x v="12"/>
    <x v="19"/>
    <x v="7"/>
    <n v="2"/>
    <s v="Standalone"/>
    <x v="0"/>
  </r>
  <r>
    <x v="12"/>
    <x v="20"/>
    <x v="8"/>
    <n v="2979"/>
    <s v="Total"/>
    <x v="0"/>
  </r>
  <r>
    <x v="12"/>
    <x v="21"/>
    <x v="8"/>
    <n v="2979"/>
    <s v="Detail"/>
    <x v="1"/>
  </r>
  <r>
    <x v="12"/>
    <x v="22"/>
    <x v="8"/>
    <n v="0"/>
    <s v="Detail"/>
    <x v="1"/>
  </r>
  <r>
    <x v="12"/>
    <x v="23"/>
    <x v="9"/>
    <n v="38"/>
    <s v="Total"/>
    <x v="0"/>
  </r>
  <r>
    <x v="12"/>
    <x v="24"/>
    <x v="9"/>
    <n v="23"/>
    <s v="Detail"/>
    <x v="1"/>
  </r>
  <r>
    <x v="12"/>
    <x v="25"/>
    <x v="9"/>
    <n v="15"/>
    <s v="Detail"/>
    <x v="1"/>
  </r>
  <r>
    <x v="12"/>
    <x v="26"/>
    <x v="10"/>
    <n v="5078"/>
    <s v="Total"/>
    <x v="0"/>
  </r>
  <r>
    <x v="12"/>
    <x v="27"/>
    <x v="10"/>
    <n v="5077"/>
    <s v="Detail"/>
    <x v="1"/>
  </r>
  <r>
    <x v="12"/>
    <x v="28"/>
    <x v="10"/>
    <n v="1"/>
    <s v="Detail"/>
    <x v="1"/>
  </r>
  <r>
    <x v="12"/>
    <x v="29"/>
    <x v="11"/>
    <n v="243"/>
    <s v="Total"/>
    <x v="0"/>
  </r>
  <r>
    <x v="12"/>
    <x v="30"/>
    <x v="11"/>
    <n v="237"/>
    <s v="Detail"/>
    <x v="1"/>
  </r>
  <r>
    <x v="12"/>
    <x v="31"/>
    <x v="11"/>
    <n v="6"/>
    <s v="Detail"/>
    <x v="1"/>
  </r>
  <r>
    <x v="12"/>
    <x v="32"/>
    <x v="12"/>
    <n v="65"/>
    <s v="Standalone"/>
    <x v="0"/>
  </r>
  <r>
    <x v="12"/>
    <x v="33"/>
    <x v="13"/>
    <n v="21"/>
    <s v="Total"/>
    <x v="0"/>
  </r>
  <r>
    <x v="12"/>
    <x v="34"/>
    <x v="13"/>
    <n v="5"/>
    <s v="Detail"/>
    <x v="1"/>
  </r>
  <r>
    <x v="12"/>
    <x v="35"/>
    <x v="13"/>
    <n v="2"/>
    <s v="Detail"/>
    <x v="1"/>
  </r>
  <r>
    <x v="12"/>
    <x v="36"/>
    <x v="13"/>
    <n v="9"/>
    <s v="Detail"/>
    <x v="1"/>
  </r>
  <r>
    <x v="12"/>
    <x v="37"/>
    <x v="13"/>
    <n v="2"/>
    <s v="Detail"/>
    <x v="1"/>
  </r>
  <r>
    <x v="12"/>
    <x v="38"/>
    <x v="13"/>
    <n v="3"/>
    <s v="Detail"/>
    <x v="1"/>
  </r>
  <r>
    <x v="12"/>
    <x v="39"/>
    <x v="5"/>
    <n v="20"/>
    <s v="Standalone"/>
    <x v="0"/>
  </r>
  <r>
    <x v="12"/>
    <x v="40"/>
    <x v="14"/>
    <n v="52"/>
    <s v="Total"/>
    <x v="0"/>
  </r>
  <r>
    <x v="12"/>
    <x v="41"/>
    <x v="14"/>
    <n v="38"/>
    <s v="Detail"/>
    <x v="1"/>
  </r>
  <r>
    <x v="12"/>
    <x v="42"/>
    <x v="14"/>
    <n v="14"/>
    <s v="Detail"/>
    <x v="1"/>
  </r>
  <r>
    <x v="12"/>
    <x v="43"/>
    <x v="15"/>
    <n v="6429"/>
    <s v="Total"/>
    <x v="0"/>
  </r>
  <r>
    <x v="12"/>
    <x v="44"/>
    <x v="15"/>
    <n v="3849"/>
    <s v="Detail"/>
    <x v="1"/>
  </r>
  <r>
    <x v="12"/>
    <x v="45"/>
    <x v="15"/>
    <n v="2501"/>
    <s v="Detail"/>
    <x v="1"/>
  </r>
  <r>
    <x v="12"/>
    <x v="46"/>
    <x v="15"/>
    <n v="54"/>
    <s v="Detail"/>
    <x v="1"/>
  </r>
  <r>
    <x v="12"/>
    <x v="47"/>
    <x v="15"/>
    <n v="8"/>
    <s v="Detail"/>
    <x v="1"/>
  </r>
  <r>
    <x v="12"/>
    <x v="48"/>
    <x v="15"/>
    <n v="13"/>
    <s v="Detail"/>
    <x v="1"/>
  </r>
  <r>
    <x v="12"/>
    <x v="49"/>
    <x v="15"/>
    <n v="4"/>
    <s v="Detail"/>
    <x v="1"/>
  </r>
  <r>
    <x v="12"/>
    <x v="50"/>
    <x v="16"/>
    <n v="4"/>
    <s v="Standalone"/>
    <x v="0"/>
  </r>
  <r>
    <x v="13"/>
    <x v="0"/>
    <x v="0"/>
    <n v="29"/>
    <s v="Standalone"/>
    <x v="0"/>
  </r>
  <r>
    <x v="13"/>
    <x v="1"/>
    <x v="1"/>
    <n v="170"/>
    <s v="Standalone"/>
    <x v="0"/>
  </r>
  <r>
    <x v="13"/>
    <x v="2"/>
    <x v="2"/>
    <n v="742"/>
    <s v="Standalone"/>
    <x v="0"/>
  </r>
  <r>
    <x v="13"/>
    <x v="3"/>
    <x v="3"/>
    <n v="42"/>
    <s v="Standalone"/>
    <x v="0"/>
  </r>
  <r>
    <x v="13"/>
    <x v="4"/>
    <x v="4"/>
    <n v="3"/>
    <s v="Standalone"/>
    <x v="0"/>
  </r>
  <r>
    <x v="13"/>
    <x v="5"/>
    <x v="4"/>
    <n v="5"/>
    <s v="Standalone"/>
    <x v="0"/>
  </r>
  <r>
    <x v="13"/>
    <x v="6"/>
    <x v="5"/>
    <n v="11226"/>
    <s v="Standalone"/>
    <x v="0"/>
  </r>
  <r>
    <x v="13"/>
    <x v="7"/>
    <x v="6"/>
    <n v="9361"/>
    <s v="Total"/>
    <x v="0"/>
  </r>
  <r>
    <x v="13"/>
    <x v="8"/>
    <x v="6"/>
    <n v="9147"/>
    <s v="Detail"/>
    <x v="1"/>
  </r>
  <r>
    <x v="13"/>
    <x v="9"/>
    <x v="6"/>
    <n v="2"/>
    <s v="Detail"/>
    <x v="1"/>
  </r>
  <r>
    <x v="13"/>
    <x v="10"/>
    <x v="6"/>
    <n v="8"/>
    <s v="Detail"/>
    <x v="1"/>
  </r>
  <r>
    <x v="13"/>
    <x v="11"/>
    <x v="6"/>
    <n v="138"/>
    <s v="Total"/>
    <x v="1"/>
  </r>
  <r>
    <x v="13"/>
    <x v="12"/>
    <x v="6"/>
    <n v="47"/>
    <s v="Detail"/>
    <x v="1"/>
  </r>
  <r>
    <x v="13"/>
    <x v="13"/>
    <x v="6"/>
    <n v="91"/>
    <s v="Detail"/>
    <x v="1"/>
  </r>
  <r>
    <x v="13"/>
    <x v="14"/>
    <x v="6"/>
    <n v="30"/>
    <s v="Standalone"/>
    <x v="0"/>
  </r>
  <r>
    <x v="13"/>
    <x v="15"/>
    <x v="6"/>
    <n v="1"/>
    <s v="Standalone"/>
    <x v="0"/>
  </r>
  <r>
    <x v="13"/>
    <x v="16"/>
    <x v="6"/>
    <n v="35"/>
    <s v="Standalone"/>
    <x v="0"/>
  </r>
  <r>
    <x v="13"/>
    <x v="17"/>
    <x v="7"/>
    <n v="314"/>
    <s v="Standalone"/>
    <x v="0"/>
  </r>
  <r>
    <x v="13"/>
    <x v="18"/>
    <x v="7"/>
    <n v="1"/>
    <s v="Standalone"/>
    <x v="0"/>
  </r>
  <r>
    <x v="13"/>
    <x v="19"/>
    <x v="7"/>
    <n v="0"/>
    <s v="Standalone"/>
    <x v="0"/>
  </r>
  <r>
    <x v="13"/>
    <x v="20"/>
    <x v="8"/>
    <n v="2930"/>
    <s v="Total"/>
    <x v="0"/>
  </r>
  <r>
    <x v="13"/>
    <x v="21"/>
    <x v="8"/>
    <n v="2930"/>
    <s v="Detail"/>
    <x v="1"/>
  </r>
  <r>
    <x v="13"/>
    <x v="22"/>
    <x v="8"/>
    <n v="0"/>
    <s v="Detail"/>
    <x v="1"/>
  </r>
  <r>
    <x v="13"/>
    <x v="23"/>
    <x v="9"/>
    <n v="0"/>
    <s v="Total"/>
    <x v="0"/>
  </r>
  <r>
    <x v="13"/>
    <x v="24"/>
    <x v="9"/>
    <n v="0"/>
    <s v="Detail"/>
    <x v="1"/>
  </r>
  <r>
    <x v="13"/>
    <x v="25"/>
    <x v="9"/>
    <n v="0"/>
    <s v="Detail"/>
    <x v="1"/>
  </r>
  <r>
    <x v="13"/>
    <x v="26"/>
    <x v="10"/>
    <n v="12133"/>
    <s v="Total"/>
    <x v="0"/>
  </r>
  <r>
    <x v="13"/>
    <x v="27"/>
    <x v="10"/>
    <n v="12133"/>
    <s v="Detail"/>
    <x v="1"/>
  </r>
  <r>
    <x v="13"/>
    <x v="28"/>
    <x v="10"/>
    <n v="0"/>
    <s v="Detail"/>
    <x v="1"/>
  </r>
  <r>
    <x v="13"/>
    <x v="29"/>
    <x v="11"/>
    <n v="1309"/>
    <s v="Total"/>
    <x v="0"/>
  </r>
  <r>
    <x v="13"/>
    <x v="30"/>
    <x v="11"/>
    <n v="1309"/>
    <s v="Detail"/>
    <x v="1"/>
  </r>
  <r>
    <x v="13"/>
    <x v="31"/>
    <x v="11"/>
    <n v="0"/>
    <s v="Detail"/>
    <x v="1"/>
  </r>
  <r>
    <x v="13"/>
    <x v="32"/>
    <x v="12"/>
    <n v="17"/>
    <s v="Standalone"/>
    <x v="0"/>
  </r>
  <r>
    <x v="13"/>
    <x v="33"/>
    <x v="13"/>
    <n v="211"/>
    <s v="Total"/>
    <x v="0"/>
  </r>
  <r>
    <x v="13"/>
    <x v="34"/>
    <x v="13"/>
    <n v="39"/>
    <s v="Detail"/>
    <x v="1"/>
  </r>
  <r>
    <x v="13"/>
    <x v="35"/>
    <x v="13"/>
    <n v="23"/>
    <s v="Detail"/>
    <x v="1"/>
  </r>
  <r>
    <x v="13"/>
    <x v="36"/>
    <x v="13"/>
    <n v="26"/>
    <s v="Detail"/>
    <x v="1"/>
  </r>
  <r>
    <x v="13"/>
    <x v="37"/>
    <x v="13"/>
    <n v="73"/>
    <s v="Detail"/>
    <x v="1"/>
  </r>
  <r>
    <x v="13"/>
    <x v="38"/>
    <x v="13"/>
    <n v="50"/>
    <s v="Detail"/>
    <x v="1"/>
  </r>
  <r>
    <x v="13"/>
    <x v="39"/>
    <x v="5"/>
    <n v="8"/>
    <s v="Standalone"/>
    <x v="0"/>
  </r>
  <r>
    <x v="13"/>
    <x v="40"/>
    <x v="14"/>
    <n v="81"/>
    <s v="Total"/>
    <x v="0"/>
  </r>
  <r>
    <x v="13"/>
    <x v="41"/>
    <x v="14"/>
    <n v="40"/>
    <s v="Detail"/>
    <x v="1"/>
  </r>
  <r>
    <x v="13"/>
    <x v="42"/>
    <x v="14"/>
    <n v="41"/>
    <s v="Detail"/>
    <x v="1"/>
  </r>
  <r>
    <x v="13"/>
    <x v="43"/>
    <x v="15"/>
    <n v="8519"/>
    <s v="Total"/>
    <x v="0"/>
  </r>
  <r>
    <x v="13"/>
    <x v="44"/>
    <x v="15"/>
    <n v="4594"/>
    <s v="Detail"/>
    <x v="1"/>
  </r>
  <r>
    <x v="13"/>
    <x v="45"/>
    <x v="15"/>
    <n v="3810"/>
    <s v="Detail"/>
    <x v="1"/>
  </r>
  <r>
    <x v="13"/>
    <x v="46"/>
    <x v="15"/>
    <n v="76"/>
    <s v="Detail"/>
    <x v="1"/>
  </r>
  <r>
    <x v="13"/>
    <x v="47"/>
    <x v="15"/>
    <n v="9"/>
    <s v="Detail"/>
    <x v="1"/>
  </r>
  <r>
    <x v="13"/>
    <x v="48"/>
    <x v="15"/>
    <n v="16"/>
    <s v="Detail"/>
    <x v="1"/>
  </r>
  <r>
    <x v="13"/>
    <x v="49"/>
    <x v="15"/>
    <n v="14"/>
    <s v="Detail"/>
    <x v="1"/>
  </r>
  <r>
    <x v="13"/>
    <x v="50"/>
    <x v="16"/>
    <n v="0"/>
    <s v="Standalone"/>
    <x v="0"/>
  </r>
  <r>
    <x v="14"/>
    <x v="0"/>
    <x v="0"/>
    <n v="1"/>
    <s v="Standalone"/>
    <x v="0"/>
  </r>
  <r>
    <x v="14"/>
    <x v="1"/>
    <x v="1"/>
    <n v="1"/>
    <s v="Standalone"/>
    <x v="0"/>
  </r>
  <r>
    <x v="14"/>
    <x v="2"/>
    <x v="2"/>
    <n v="4"/>
    <s v="Standalone"/>
    <x v="0"/>
  </r>
  <r>
    <x v="14"/>
    <x v="3"/>
    <x v="3"/>
    <n v="0"/>
    <s v="Standalone"/>
    <x v="0"/>
  </r>
  <r>
    <x v="14"/>
    <x v="4"/>
    <x v="4"/>
    <n v="0"/>
    <s v="Standalone"/>
    <x v="0"/>
  </r>
  <r>
    <x v="14"/>
    <x v="5"/>
    <x v="4"/>
    <n v="0"/>
    <s v="Standalone"/>
    <x v="0"/>
  </r>
  <r>
    <x v="14"/>
    <x v="6"/>
    <x v="5"/>
    <n v="7"/>
    <s v="Standalone"/>
    <x v="0"/>
  </r>
  <r>
    <x v="14"/>
    <x v="7"/>
    <x v="6"/>
    <n v="32"/>
    <s v="Total"/>
    <x v="0"/>
  </r>
  <r>
    <x v="14"/>
    <x v="8"/>
    <x v="6"/>
    <n v="2"/>
    <s v="Detail"/>
    <x v="1"/>
  </r>
  <r>
    <x v="14"/>
    <x v="9"/>
    <x v="6"/>
    <n v="0"/>
    <s v="Detail"/>
    <x v="1"/>
  </r>
  <r>
    <x v="14"/>
    <x v="10"/>
    <x v="6"/>
    <n v="1"/>
    <s v="Detail"/>
    <x v="1"/>
  </r>
  <r>
    <x v="14"/>
    <x v="11"/>
    <x v="6"/>
    <n v="12"/>
    <s v="Total"/>
    <x v="1"/>
  </r>
  <r>
    <x v="14"/>
    <x v="12"/>
    <x v="6"/>
    <n v="7"/>
    <s v="Detail"/>
    <x v="1"/>
  </r>
  <r>
    <x v="14"/>
    <x v="13"/>
    <x v="6"/>
    <n v="5"/>
    <s v="Detail"/>
    <x v="1"/>
  </r>
  <r>
    <x v="14"/>
    <x v="14"/>
    <x v="6"/>
    <n v="9"/>
    <s v="Standalone"/>
    <x v="0"/>
  </r>
  <r>
    <x v="14"/>
    <x v="15"/>
    <x v="6"/>
    <n v="0"/>
    <s v="Standalone"/>
    <x v="0"/>
  </r>
  <r>
    <x v="14"/>
    <x v="16"/>
    <x v="6"/>
    <n v="8"/>
    <s v="Standalone"/>
    <x v="0"/>
  </r>
  <r>
    <x v="14"/>
    <x v="17"/>
    <x v="7"/>
    <n v="0"/>
    <s v="Standalone"/>
    <x v="0"/>
  </r>
  <r>
    <x v="14"/>
    <x v="18"/>
    <x v="7"/>
    <n v="0"/>
    <s v="Standalone"/>
    <x v="0"/>
  </r>
  <r>
    <x v="14"/>
    <x v="19"/>
    <x v="7"/>
    <n v="0"/>
    <s v="Standalone"/>
    <x v="0"/>
  </r>
  <r>
    <x v="14"/>
    <x v="20"/>
    <x v="8"/>
    <n v="27"/>
    <s v="Total"/>
    <x v="0"/>
  </r>
  <r>
    <x v="14"/>
    <x v="21"/>
    <x v="8"/>
    <n v="27"/>
    <s v="Detail"/>
    <x v="1"/>
  </r>
  <r>
    <x v="14"/>
    <x v="22"/>
    <x v="8"/>
    <n v="0"/>
    <s v="Detail"/>
    <x v="1"/>
  </r>
  <r>
    <x v="14"/>
    <x v="23"/>
    <x v="9"/>
    <n v="0"/>
    <s v="Total"/>
    <x v="0"/>
  </r>
  <r>
    <x v="14"/>
    <x v="24"/>
    <x v="9"/>
    <n v="0"/>
    <s v="Detail"/>
    <x v="1"/>
  </r>
  <r>
    <x v="14"/>
    <x v="25"/>
    <x v="9"/>
    <n v="0"/>
    <s v="Detail"/>
    <x v="1"/>
  </r>
  <r>
    <x v="14"/>
    <x v="26"/>
    <x v="10"/>
    <n v="66"/>
    <s v="Total"/>
    <x v="0"/>
  </r>
  <r>
    <x v="14"/>
    <x v="27"/>
    <x v="10"/>
    <n v="65"/>
    <s v="Detail"/>
    <x v="1"/>
  </r>
  <r>
    <x v="14"/>
    <x v="28"/>
    <x v="10"/>
    <n v="1"/>
    <s v="Detail"/>
    <x v="1"/>
  </r>
  <r>
    <x v="14"/>
    <x v="29"/>
    <x v="11"/>
    <n v="8"/>
    <s v="Total"/>
    <x v="0"/>
  </r>
  <r>
    <x v="14"/>
    <x v="30"/>
    <x v="11"/>
    <n v="8"/>
    <s v="Detail"/>
    <x v="1"/>
  </r>
  <r>
    <x v="14"/>
    <x v="31"/>
    <x v="11"/>
    <n v="0"/>
    <s v="Detail"/>
    <x v="1"/>
  </r>
  <r>
    <x v="14"/>
    <x v="32"/>
    <x v="12"/>
    <n v="0"/>
    <s v="Standalone"/>
    <x v="0"/>
  </r>
  <r>
    <x v="14"/>
    <x v="33"/>
    <x v="13"/>
    <n v="0"/>
    <s v="Total"/>
    <x v="0"/>
  </r>
  <r>
    <x v="14"/>
    <x v="34"/>
    <x v="13"/>
    <n v="0"/>
    <s v="Detail"/>
    <x v="1"/>
  </r>
  <r>
    <x v="14"/>
    <x v="35"/>
    <x v="13"/>
    <n v="0"/>
    <s v="Detail"/>
    <x v="1"/>
  </r>
  <r>
    <x v="14"/>
    <x v="36"/>
    <x v="13"/>
    <n v="0"/>
    <s v="Detail"/>
    <x v="1"/>
  </r>
  <r>
    <x v="14"/>
    <x v="37"/>
    <x v="13"/>
    <n v="0"/>
    <s v="Detail"/>
    <x v="1"/>
  </r>
  <r>
    <x v="14"/>
    <x v="38"/>
    <x v="13"/>
    <n v="0"/>
    <s v="Detail"/>
    <x v="1"/>
  </r>
  <r>
    <x v="14"/>
    <x v="39"/>
    <x v="5"/>
    <n v="0"/>
    <s v="Standalone"/>
    <x v="0"/>
  </r>
  <r>
    <x v="14"/>
    <x v="40"/>
    <x v="14"/>
    <n v="0"/>
    <s v="Total"/>
    <x v="0"/>
  </r>
  <r>
    <x v="14"/>
    <x v="41"/>
    <x v="14"/>
    <n v="0"/>
    <s v="Detail"/>
    <x v="1"/>
  </r>
  <r>
    <x v="14"/>
    <x v="42"/>
    <x v="14"/>
    <n v="0"/>
    <s v="Detail"/>
    <x v="1"/>
  </r>
  <r>
    <x v="14"/>
    <x v="43"/>
    <x v="15"/>
    <n v="55"/>
    <s v="Total"/>
    <x v="0"/>
  </r>
  <r>
    <x v="14"/>
    <x v="44"/>
    <x v="15"/>
    <n v="43"/>
    <s v="Detail"/>
    <x v="1"/>
  </r>
  <r>
    <x v="14"/>
    <x v="45"/>
    <x v="15"/>
    <n v="9"/>
    <s v="Detail"/>
    <x v="1"/>
  </r>
  <r>
    <x v="14"/>
    <x v="46"/>
    <x v="15"/>
    <n v="2"/>
    <s v="Detail"/>
    <x v="1"/>
  </r>
  <r>
    <x v="14"/>
    <x v="47"/>
    <x v="15"/>
    <n v="0"/>
    <s v="Detail"/>
    <x v="1"/>
  </r>
  <r>
    <x v="14"/>
    <x v="48"/>
    <x v="15"/>
    <n v="1"/>
    <s v="Detail"/>
    <x v="1"/>
  </r>
  <r>
    <x v="14"/>
    <x v="49"/>
    <x v="15"/>
    <n v="0"/>
    <s v="Detail"/>
    <x v="1"/>
  </r>
  <r>
    <x v="14"/>
    <x v="50"/>
    <x v="16"/>
    <n v="0"/>
    <s v="Standalone"/>
    <x v="0"/>
  </r>
  <r>
    <x v="15"/>
    <x v="0"/>
    <x v="0"/>
    <n v="0"/>
    <s v="Standalone"/>
    <x v="0"/>
  </r>
  <r>
    <x v="15"/>
    <x v="1"/>
    <x v="1"/>
    <n v="0"/>
    <s v="Standalone"/>
    <x v="0"/>
  </r>
  <r>
    <x v="15"/>
    <x v="2"/>
    <x v="2"/>
    <n v="2"/>
    <s v="Standalone"/>
    <x v="0"/>
  </r>
  <r>
    <x v="15"/>
    <x v="3"/>
    <x v="3"/>
    <n v="1"/>
    <s v="Standalone"/>
    <x v="0"/>
  </r>
  <r>
    <x v="15"/>
    <x v="4"/>
    <x v="4"/>
    <n v="1"/>
    <s v="Standalone"/>
    <x v="0"/>
  </r>
  <r>
    <x v="15"/>
    <x v="5"/>
    <x v="4"/>
    <n v="0"/>
    <s v="Standalone"/>
    <x v="0"/>
  </r>
  <r>
    <x v="15"/>
    <x v="6"/>
    <x v="5"/>
    <n v="14"/>
    <s v="Standalone"/>
    <x v="0"/>
  </r>
  <r>
    <x v="15"/>
    <x v="7"/>
    <x v="6"/>
    <n v="54"/>
    <s v="Total"/>
    <x v="0"/>
  </r>
  <r>
    <x v="15"/>
    <x v="8"/>
    <x v="6"/>
    <n v="32"/>
    <s v="Detail"/>
    <x v="1"/>
  </r>
  <r>
    <x v="15"/>
    <x v="9"/>
    <x v="6"/>
    <n v="0"/>
    <s v="Detail"/>
    <x v="1"/>
  </r>
  <r>
    <x v="15"/>
    <x v="10"/>
    <x v="6"/>
    <n v="9"/>
    <s v="Detail"/>
    <x v="1"/>
  </r>
  <r>
    <x v="15"/>
    <x v="11"/>
    <x v="6"/>
    <n v="6"/>
    <s v="Total"/>
    <x v="1"/>
  </r>
  <r>
    <x v="15"/>
    <x v="12"/>
    <x v="6"/>
    <n v="3"/>
    <s v="Detail"/>
    <x v="1"/>
  </r>
  <r>
    <x v="15"/>
    <x v="13"/>
    <x v="6"/>
    <n v="3"/>
    <s v="Detail"/>
    <x v="1"/>
  </r>
  <r>
    <x v="15"/>
    <x v="14"/>
    <x v="6"/>
    <n v="4"/>
    <s v="Standalone"/>
    <x v="0"/>
  </r>
  <r>
    <x v="15"/>
    <x v="15"/>
    <x v="6"/>
    <n v="0"/>
    <s v="Standalone"/>
    <x v="0"/>
  </r>
  <r>
    <x v="15"/>
    <x v="16"/>
    <x v="6"/>
    <n v="3"/>
    <s v="Standalone"/>
    <x v="0"/>
  </r>
  <r>
    <x v="15"/>
    <x v="17"/>
    <x v="7"/>
    <n v="0"/>
    <s v="Standalone"/>
    <x v="0"/>
  </r>
  <r>
    <x v="15"/>
    <x v="18"/>
    <x v="7"/>
    <n v="0"/>
    <s v="Standalone"/>
    <x v="0"/>
  </r>
  <r>
    <x v="15"/>
    <x v="19"/>
    <x v="7"/>
    <n v="0"/>
    <s v="Standalone"/>
    <x v="0"/>
  </r>
  <r>
    <x v="15"/>
    <x v="20"/>
    <x v="8"/>
    <n v="66"/>
    <s v="Total"/>
    <x v="0"/>
  </r>
  <r>
    <x v="15"/>
    <x v="21"/>
    <x v="8"/>
    <n v="66"/>
    <s v="Detail"/>
    <x v="1"/>
  </r>
  <r>
    <x v="15"/>
    <x v="22"/>
    <x v="8"/>
    <n v="0"/>
    <s v="Detail"/>
    <x v="1"/>
  </r>
  <r>
    <x v="15"/>
    <x v="23"/>
    <x v="9"/>
    <n v="12"/>
    <s v="Total"/>
    <x v="0"/>
  </r>
  <r>
    <x v="15"/>
    <x v="24"/>
    <x v="9"/>
    <n v="11"/>
    <s v="Detail"/>
    <x v="1"/>
  </r>
  <r>
    <x v="15"/>
    <x v="25"/>
    <x v="9"/>
    <n v="1"/>
    <s v="Detail"/>
    <x v="1"/>
  </r>
  <r>
    <x v="15"/>
    <x v="26"/>
    <x v="10"/>
    <n v="51"/>
    <s v="Total"/>
    <x v="0"/>
  </r>
  <r>
    <x v="15"/>
    <x v="27"/>
    <x v="10"/>
    <n v="49"/>
    <s v="Detail"/>
    <x v="1"/>
  </r>
  <r>
    <x v="15"/>
    <x v="28"/>
    <x v="10"/>
    <n v="2"/>
    <s v="Detail"/>
    <x v="1"/>
  </r>
  <r>
    <x v="15"/>
    <x v="29"/>
    <x v="11"/>
    <n v="17"/>
    <s v="Total"/>
    <x v="0"/>
  </r>
  <r>
    <x v="15"/>
    <x v="30"/>
    <x v="11"/>
    <n v="17"/>
    <s v="Detail"/>
    <x v="1"/>
  </r>
  <r>
    <x v="15"/>
    <x v="31"/>
    <x v="11"/>
    <n v="0"/>
    <s v="Detail"/>
    <x v="1"/>
  </r>
  <r>
    <x v="15"/>
    <x v="32"/>
    <x v="12"/>
    <n v="2"/>
    <s v="Standalone"/>
    <x v="0"/>
  </r>
  <r>
    <x v="15"/>
    <x v="33"/>
    <x v="13"/>
    <n v="1"/>
    <s v="Total"/>
    <x v="0"/>
  </r>
  <r>
    <x v="15"/>
    <x v="34"/>
    <x v="13"/>
    <n v="0"/>
    <s v="Detail"/>
    <x v="1"/>
  </r>
  <r>
    <x v="15"/>
    <x v="35"/>
    <x v="13"/>
    <n v="0"/>
    <s v="Detail"/>
    <x v="1"/>
  </r>
  <r>
    <x v="15"/>
    <x v="36"/>
    <x v="13"/>
    <n v="1"/>
    <s v="Detail"/>
    <x v="1"/>
  </r>
  <r>
    <x v="15"/>
    <x v="37"/>
    <x v="13"/>
    <n v="0"/>
    <s v="Detail"/>
    <x v="1"/>
  </r>
  <r>
    <x v="15"/>
    <x v="38"/>
    <x v="13"/>
    <n v="0"/>
    <s v="Detail"/>
    <x v="1"/>
  </r>
  <r>
    <x v="15"/>
    <x v="39"/>
    <x v="5"/>
    <n v="0"/>
    <s v="Standalone"/>
    <x v="0"/>
  </r>
  <r>
    <x v="15"/>
    <x v="40"/>
    <x v="14"/>
    <n v="10"/>
    <s v="Total"/>
    <x v="0"/>
  </r>
  <r>
    <x v="15"/>
    <x v="41"/>
    <x v="14"/>
    <n v="9"/>
    <s v="Detail"/>
    <x v="1"/>
  </r>
  <r>
    <x v="15"/>
    <x v="42"/>
    <x v="14"/>
    <n v="1"/>
    <s v="Detail"/>
    <x v="1"/>
  </r>
  <r>
    <x v="15"/>
    <x v="43"/>
    <x v="15"/>
    <n v="397"/>
    <s v="Total"/>
    <x v="0"/>
  </r>
  <r>
    <x v="15"/>
    <x v="44"/>
    <x v="15"/>
    <n v="322"/>
    <s v="Detail"/>
    <x v="1"/>
  </r>
  <r>
    <x v="15"/>
    <x v="45"/>
    <x v="15"/>
    <n v="53"/>
    <s v="Detail"/>
    <x v="1"/>
  </r>
  <r>
    <x v="15"/>
    <x v="46"/>
    <x v="15"/>
    <n v="7"/>
    <s v="Detail"/>
    <x v="1"/>
  </r>
  <r>
    <x v="15"/>
    <x v="47"/>
    <x v="15"/>
    <n v="8"/>
    <s v="Detail"/>
    <x v="1"/>
  </r>
  <r>
    <x v="15"/>
    <x v="48"/>
    <x v="15"/>
    <n v="7"/>
    <s v="Detail"/>
    <x v="1"/>
  </r>
  <r>
    <x v="15"/>
    <x v="49"/>
    <x v="15"/>
    <n v="0"/>
    <s v="Detail"/>
    <x v="1"/>
  </r>
  <r>
    <x v="15"/>
    <x v="50"/>
    <x v="16"/>
    <n v="0"/>
    <s v="Standalone"/>
    <x v="0"/>
  </r>
  <r>
    <x v="16"/>
    <x v="0"/>
    <x v="0"/>
    <n v="0"/>
    <s v="Standalone"/>
    <x v="0"/>
  </r>
  <r>
    <x v="16"/>
    <x v="1"/>
    <x v="1"/>
    <n v="0"/>
    <s v="Standalone"/>
    <x v="0"/>
  </r>
  <r>
    <x v="16"/>
    <x v="2"/>
    <x v="2"/>
    <n v="0"/>
    <s v="Standalone"/>
    <x v="0"/>
  </r>
  <r>
    <x v="16"/>
    <x v="3"/>
    <x v="3"/>
    <n v="0"/>
    <s v="Standalone"/>
    <x v="0"/>
  </r>
  <r>
    <x v="16"/>
    <x v="4"/>
    <x v="4"/>
    <n v="0"/>
    <s v="Standalone"/>
    <x v="0"/>
  </r>
  <r>
    <x v="16"/>
    <x v="5"/>
    <x v="4"/>
    <n v="0"/>
    <s v="Standalone"/>
    <x v="0"/>
  </r>
  <r>
    <x v="16"/>
    <x v="6"/>
    <x v="5"/>
    <n v="5"/>
    <s v="Standalone"/>
    <x v="0"/>
  </r>
  <r>
    <x v="16"/>
    <x v="7"/>
    <x v="6"/>
    <n v="1"/>
    <s v="Total"/>
    <x v="0"/>
  </r>
  <r>
    <x v="16"/>
    <x v="8"/>
    <x v="6"/>
    <n v="0"/>
    <s v="Detail"/>
    <x v="1"/>
  </r>
  <r>
    <x v="16"/>
    <x v="9"/>
    <x v="6"/>
    <n v="1"/>
    <s v="Detail"/>
    <x v="1"/>
  </r>
  <r>
    <x v="16"/>
    <x v="10"/>
    <x v="6"/>
    <n v="0"/>
    <s v="Detail"/>
    <x v="1"/>
  </r>
  <r>
    <x v="16"/>
    <x v="11"/>
    <x v="6"/>
    <n v="0"/>
    <s v="Total"/>
    <x v="1"/>
  </r>
  <r>
    <x v="16"/>
    <x v="12"/>
    <x v="6"/>
    <n v="0"/>
    <s v="Detail"/>
    <x v="1"/>
  </r>
  <r>
    <x v="16"/>
    <x v="13"/>
    <x v="6"/>
    <n v="0"/>
    <s v="Detail"/>
    <x v="1"/>
  </r>
  <r>
    <x v="16"/>
    <x v="14"/>
    <x v="6"/>
    <n v="0"/>
    <s v="Standalone"/>
    <x v="0"/>
  </r>
  <r>
    <x v="16"/>
    <x v="15"/>
    <x v="6"/>
    <n v="0"/>
    <s v="Standalone"/>
    <x v="0"/>
  </r>
  <r>
    <x v="16"/>
    <x v="16"/>
    <x v="6"/>
    <n v="0"/>
    <s v="Standalone"/>
    <x v="0"/>
  </r>
  <r>
    <x v="16"/>
    <x v="17"/>
    <x v="7"/>
    <n v="0"/>
    <s v="Standalone"/>
    <x v="0"/>
  </r>
  <r>
    <x v="16"/>
    <x v="18"/>
    <x v="7"/>
    <n v="0"/>
    <s v="Standalone"/>
    <x v="0"/>
  </r>
  <r>
    <x v="16"/>
    <x v="19"/>
    <x v="7"/>
    <n v="0"/>
    <s v="Standalone"/>
    <x v="0"/>
  </r>
  <r>
    <x v="16"/>
    <x v="20"/>
    <x v="8"/>
    <n v="36"/>
    <s v="Total"/>
    <x v="0"/>
  </r>
  <r>
    <x v="16"/>
    <x v="21"/>
    <x v="8"/>
    <n v="28"/>
    <s v="Detail"/>
    <x v="1"/>
  </r>
  <r>
    <x v="16"/>
    <x v="22"/>
    <x v="8"/>
    <n v="8"/>
    <s v="Detail"/>
    <x v="1"/>
  </r>
  <r>
    <x v="16"/>
    <x v="23"/>
    <x v="9"/>
    <n v="1"/>
    <s v="Total"/>
    <x v="0"/>
  </r>
  <r>
    <x v="16"/>
    <x v="24"/>
    <x v="9"/>
    <n v="1"/>
    <s v="Detail"/>
    <x v="1"/>
  </r>
  <r>
    <x v="16"/>
    <x v="25"/>
    <x v="9"/>
    <n v="0"/>
    <s v="Detail"/>
    <x v="1"/>
  </r>
  <r>
    <x v="16"/>
    <x v="26"/>
    <x v="10"/>
    <n v="28"/>
    <s v="Total"/>
    <x v="0"/>
  </r>
  <r>
    <x v="16"/>
    <x v="27"/>
    <x v="10"/>
    <n v="26"/>
    <s v="Detail"/>
    <x v="1"/>
  </r>
  <r>
    <x v="16"/>
    <x v="28"/>
    <x v="10"/>
    <n v="2"/>
    <s v="Detail"/>
    <x v="1"/>
  </r>
  <r>
    <x v="16"/>
    <x v="29"/>
    <x v="11"/>
    <n v="0"/>
    <s v="Total"/>
    <x v="0"/>
  </r>
  <r>
    <x v="16"/>
    <x v="30"/>
    <x v="11"/>
    <n v="0"/>
    <s v="Detail"/>
    <x v="1"/>
  </r>
  <r>
    <x v="16"/>
    <x v="31"/>
    <x v="11"/>
    <n v="0"/>
    <s v="Detail"/>
    <x v="1"/>
  </r>
  <r>
    <x v="16"/>
    <x v="32"/>
    <x v="12"/>
    <n v="0"/>
    <s v="Standalone"/>
    <x v="0"/>
  </r>
  <r>
    <x v="16"/>
    <x v="33"/>
    <x v="13"/>
    <n v="0"/>
    <s v="Total"/>
    <x v="0"/>
  </r>
  <r>
    <x v="16"/>
    <x v="34"/>
    <x v="13"/>
    <n v="0"/>
    <s v="Detail"/>
    <x v="1"/>
  </r>
  <r>
    <x v="16"/>
    <x v="35"/>
    <x v="13"/>
    <n v="0"/>
    <s v="Detail"/>
    <x v="1"/>
  </r>
  <r>
    <x v="16"/>
    <x v="36"/>
    <x v="13"/>
    <n v="0"/>
    <s v="Detail"/>
    <x v="1"/>
  </r>
  <r>
    <x v="16"/>
    <x v="37"/>
    <x v="13"/>
    <n v="0"/>
    <s v="Detail"/>
    <x v="1"/>
  </r>
  <r>
    <x v="16"/>
    <x v="38"/>
    <x v="13"/>
    <n v="0"/>
    <s v="Detail"/>
    <x v="1"/>
  </r>
  <r>
    <x v="16"/>
    <x v="39"/>
    <x v="5"/>
    <n v="0"/>
    <s v="Standalone"/>
    <x v="0"/>
  </r>
  <r>
    <x v="16"/>
    <x v="40"/>
    <x v="14"/>
    <n v="0"/>
    <s v="Total"/>
    <x v="0"/>
  </r>
  <r>
    <x v="16"/>
    <x v="41"/>
    <x v="14"/>
    <n v="0"/>
    <s v="Detail"/>
    <x v="1"/>
  </r>
  <r>
    <x v="16"/>
    <x v="42"/>
    <x v="14"/>
    <n v="0"/>
    <s v="Detail"/>
    <x v="1"/>
  </r>
  <r>
    <x v="16"/>
    <x v="43"/>
    <x v="15"/>
    <n v="113"/>
    <s v="Total"/>
    <x v="0"/>
  </r>
  <r>
    <x v="16"/>
    <x v="44"/>
    <x v="15"/>
    <n v="72"/>
    <s v="Detail"/>
    <x v="1"/>
  </r>
  <r>
    <x v="16"/>
    <x v="45"/>
    <x v="15"/>
    <n v="38"/>
    <s v="Detail"/>
    <x v="1"/>
  </r>
  <r>
    <x v="16"/>
    <x v="46"/>
    <x v="15"/>
    <n v="0"/>
    <s v="Detail"/>
    <x v="1"/>
  </r>
  <r>
    <x v="16"/>
    <x v="47"/>
    <x v="15"/>
    <n v="3"/>
    <s v="Detail"/>
    <x v="1"/>
  </r>
  <r>
    <x v="16"/>
    <x v="48"/>
    <x v="15"/>
    <n v="0"/>
    <s v="Detail"/>
    <x v="1"/>
  </r>
  <r>
    <x v="16"/>
    <x v="49"/>
    <x v="15"/>
    <n v="0"/>
    <s v="Detail"/>
    <x v="1"/>
  </r>
  <r>
    <x v="16"/>
    <x v="50"/>
    <x v="16"/>
    <n v="0"/>
    <s v="Standalone"/>
    <x v="0"/>
  </r>
  <r>
    <x v="17"/>
    <x v="0"/>
    <x v="0"/>
    <n v="0"/>
    <s v="Standalone"/>
    <x v="0"/>
  </r>
  <r>
    <x v="17"/>
    <x v="1"/>
    <x v="1"/>
    <n v="0"/>
    <s v="Standalone"/>
    <x v="0"/>
  </r>
  <r>
    <x v="17"/>
    <x v="2"/>
    <x v="2"/>
    <n v="0"/>
    <s v="Standalone"/>
    <x v="0"/>
  </r>
  <r>
    <x v="17"/>
    <x v="3"/>
    <x v="3"/>
    <n v="0"/>
    <s v="Standalone"/>
    <x v="0"/>
  </r>
  <r>
    <x v="17"/>
    <x v="4"/>
    <x v="4"/>
    <n v="0"/>
    <s v="Standalone"/>
    <x v="0"/>
  </r>
  <r>
    <x v="17"/>
    <x v="5"/>
    <x v="4"/>
    <n v="0"/>
    <s v="Standalone"/>
    <x v="0"/>
  </r>
  <r>
    <x v="17"/>
    <x v="6"/>
    <x v="5"/>
    <n v="2"/>
    <s v="Standalone"/>
    <x v="0"/>
  </r>
  <r>
    <x v="17"/>
    <x v="7"/>
    <x v="6"/>
    <n v="7"/>
    <s v="Total"/>
    <x v="0"/>
  </r>
  <r>
    <x v="17"/>
    <x v="8"/>
    <x v="6"/>
    <n v="4"/>
    <s v="Detail"/>
    <x v="1"/>
  </r>
  <r>
    <x v="17"/>
    <x v="9"/>
    <x v="6"/>
    <n v="0"/>
    <s v="Detail"/>
    <x v="1"/>
  </r>
  <r>
    <x v="17"/>
    <x v="10"/>
    <x v="6"/>
    <n v="1"/>
    <s v="Detail"/>
    <x v="1"/>
  </r>
  <r>
    <x v="17"/>
    <x v="11"/>
    <x v="6"/>
    <n v="0"/>
    <s v="Total"/>
    <x v="1"/>
  </r>
  <r>
    <x v="17"/>
    <x v="12"/>
    <x v="6"/>
    <n v="0"/>
    <s v="Detail"/>
    <x v="1"/>
  </r>
  <r>
    <x v="17"/>
    <x v="13"/>
    <x v="6"/>
    <n v="0"/>
    <s v="Detail"/>
    <x v="1"/>
  </r>
  <r>
    <x v="17"/>
    <x v="14"/>
    <x v="6"/>
    <n v="0"/>
    <s v="Standalone"/>
    <x v="0"/>
  </r>
  <r>
    <x v="17"/>
    <x v="15"/>
    <x v="6"/>
    <n v="0"/>
    <s v="Standalone"/>
    <x v="0"/>
  </r>
  <r>
    <x v="17"/>
    <x v="16"/>
    <x v="6"/>
    <n v="2"/>
    <s v="Standalone"/>
    <x v="0"/>
  </r>
  <r>
    <x v="17"/>
    <x v="17"/>
    <x v="7"/>
    <n v="0"/>
    <s v="Standalone"/>
    <x v="0"/>
  </r>
  <r>
    <x v="17"/>
    <x v="18"/>
    <x v="7"/>
    <n v="0"/>
    <s v="Standalone"/>
    <x v="0"/>
  </r>
  <r>
    <x v="17"/>
    <x v="19"/>
    <x v="7"/>
    <n v="0"/>
    <s v="Standalone"/>
    <x v="0"/>
  </r>
  <r>
    <x v="17"/>
    <x v="20"/>
    <x v="8"/>
    <n v="10"/>
    <s v="Total"/>
    <x v="0"/>
  </r>
  <r>
    <x v="17"/>
    <x v="21"/>
    <x v="8"/>
    <n v="7"/>
    <s v="Detail"/>
    <x v="1"/>
  </r>
  <r>
    <x v="17"/>
    <x v="22"/>
    <x v="8"/>
    <n v="3"/>
    <s v="Detail"/>
    <x v="1"/>
  </r>
  <r>
    <x v="17"/>
    <x v="23"/>
    <x v="9"/>
    <n v="3"/>
    <s v="Total"/>
    <x v="0"/>
  </r>
  <r>
    <x v="17"/>
    <x v="24"/>
    <x v="9"/>
    <n v="2"/>
    <s v="Detail"/>
    <x v="1"/>
  </r>
  <r>
    <x v="17"/>
    <x v="25"/>
    <x v="9"/>
    <n v="1"/>
    <s v="Detail"/>
    <x v="1"/>
  </r>
  <r>
    <x v="17"/>
    <x v="26"/>
    <x v="10"/>
    <n v="14"/>
    <s v="Total"/>
    <x v="0"/>
  </r>
  <r>
    <x v="17"/>
    <x v="27"/>
    <x v="10"/>
    <n v="12"/>
    <s v="Detail"/>
    <x v="1"/>
  </r>
  <r>
    <x v="17"/>
    <x v="28"/>
    <x v="10"/>
    <n v="2"/>
    <s v="Detail"/>
    <x v="1"/>
  </r>
  <r>
    <x v="17"/>
    <x v="29"/>
    <x v="11"/>
    <n v="1"/>
    <s v="Total"/>
    <x v="0"/>
  </r>
  <r>
    <x v="17"/>
    <x v="30"/>
    <x v="11"/>
    <n v="1"/>
    <s v="Detail"/>
    <x v="1"/>
  </r>
  <r>
    <x v="17"/>
    <x v="31"/>
    <x v="11"/>
    <n v="0"/>
    <s v="Detail"/>
    <x v="1"/>
  </r>
  <r>
    <x v="17"/>
    <x v="32"/>
    <x v="12"/>
    <n v="0"/>
    <s v="Standalone"/>
    <x v="0"/>
  </r>
  <r>
    <x v="17"/>
    <x v="33"/>
    <x v="13"/>
    <n v="1"/>
    <s v="Total"/>
    <x v="0"/>
  </r>
  <r>
    <x v="17"/>
    <x v="34"/>
    <x v="13"/>
    <n v="0"/>
    <s v="Detail"/>
    <x v="1"/>
  </r>
  <r>
    <x v="17"/>
    <x v="35"/>
    <x v="13"/>
    <n v="0"/>
    <s v="Detail"/>
    <x v="1"/>
  </r>
  <r>
    <x v="17"/>
    <x v="36"/>
    <x v="13"/>
    <n v="0"/>
    <s v="Detail"/>
    <x v="1"/>
  </r>
  <r>
    <x v="17"/>
    <x v="37"/>
    <x v="13"/>
    <n v="0"/>
    <s v="Detail"/>
    <x v="1"/>
  </r>
  <r>
    <x v="17"/>
    <x v="38"/>
    <x v="13"/>
    <n v="1"/>
    <s v="Detail"/>
    <x v="1"/>
  </r>
  <r>
    <x v="17"/>
    <x v="39"/>
    <x v="5"/>
    <n v="2"/>
    <s v="Standalone"/>
    <x v="0"/>
  </r>
  <r>
    <x v="17"/>
    <x v="40"/>
    <x v="14"/>
    <n v="1"/>
    <s v="Total"/>
    <x v="0"/>
  </r>
  <r>
    <x v="17"/>
    <x v="41"/>
    <x v="14"/>
    <n v="1"/>
    <s v="Detail"/>
    <x v="1"/>
  </r>
  <r>
    <x v="17"/>
    <x v="42"/>
    <x v="14"/>
    <n v="0"/>
    <s v="Detail"/>
    <x v="1"/>
  </r>
  <r>
    <x v="17"/>
    <x v="43"/>
    <x v="15"/>
    <n v="15"/>
    <s v="Total"/>
    <x v="0"/>
  </r>
  <r>
    <x v="17"/>
    <x v="44"/>
    <x v="15"/>
    <n v="6"/>
    <s v="Detail"/>
    <x v="1"/>
  </r>
  <r>
    <x v="17"/>
    <x v="45"/>
    <x v="15"/>
    <n v="9"/>
    <s v="Detail"/>
    <x v="1"/>
  </r>
  <r>
    <x v="17"/>
    <x v="46"/>
    <x v="15"/>
    <n v="0"/>
    <s v="Detail"/>
    <x v="1"/>
  </r>
  <r>
    <x v="17"/>
    <x v="47"/>
    <x v="15"/>
    <n v="0"/>
    <s v="Detail"/>
    <x v="1"/>
  </r>
  <r>
    <x v="17"/>
    <x v="48"/>
    <x v="15"/>
    <n v="0"/>
    <s v="Detail"/>
    <x v="1"/>
  </r>
  <r>
    <x v="17"/>
    <x v="49"/>
    <x v="15"/>
    <n v="0"/>
    <s v="Detail"/>
    <x v="1"/>
  </r>
  <r>
    <x v="17"/>
    <x v="50"/>
    <x v="16"/>
    <n v="0"/>
    <s v="Standalone"/>
    <x v="0"/>
  </r>
  <r>
    <x v="18"/>
    <x v="0"/>
    <x v="0"/>
    <n v="15"/>
    <s v="Standalone"/>
    <x v="0"/>
  </r>
  <r>
    <x v="18"/>
    <x v="1"/>
    <x v="1"/>
    <n v="231"/>
    <s v="Standalone"/>
    <x v="0"/>
  </r>
  <r>
    <x v="18"/>
    <x v="2"/>
    <x v="2"/>
    <n v="0"/>
    <s v="Standalone"/>
    <x v="0"/>
  </r>
  <r>
    <x v="18"/>
    <x v="3"/>
    <x v="3"/>
    <n v="0"/>
    <s v="Standalone"/>
    <x v="0"/>
  </r>
  <r>
    <x v="18"/>
    <x v="4"/>
    <x v="4"/>
    <n v="5"/>
    <s v="Standalone"/>
    <x v="0"/>
  </r>
  <r>
    <x v="18"/>
    <x v="5"/>
    <x v="4"/>
    <n v="2"/>
    <s v="Standalone"/>
    <x v="0"/>
  </r>
  <r>
    <x v="18"/>
    <x v="6"/>
    <x v="5"/>
    <n v="5534"/>
    <s v="Standalone"/>
    <x v="0"/>
  </r>
  <r>
    <x v="18"/>
    <x v="7"/>
    <x v="6"/>
    <n v="5611"/>
    <s v="Total"/>
    <x v="0"/>
  </r>
  <r>
    <x v="18"/>
    <x v="8"/>
    <x v="6"/>
    <n v="5400"/>
    <s v="Detail"/>
    <x v="1"/>
  </r>
  <r>
    <x v="18"/>
    <x v="9"/>
    <x v="6"/>
    <n v="1"/>
    <s v="Detail"/>
    <x v="1"/>
  </r>
  <r>
    <x v="18"/>
    <x v="10"/>
    <x v="6"/>
    <n v="8"/>
    <s v="Detail"/>
    <x v="1"/>
  </r>
  <r>
    <x v="18"/>
    <x v="11"/>
    <x v="6"/>
    <n v="64"/>
    <s v="Total"/>
    <x v="1"/>
  </r>
  <r>
    <x v="18"/>
    <x v="12"/>
    <x v="6"/>
    <n v="4"/>
    <s v="Detail"/>
    <x v="1"/>
  </r>
  <r>
    <x v="18"/>
    <x v="13"/>
    <x v="6"/>
    <n v="60"/>
    <s v="Detail"/>
    <x v="1"/>
  </r>
  <r>
    <x v="18"/>
    <x v="14"/>
    <x v="6"/>
    <n v="8"/>
    <s v="Standalone"/>
    <x v="0"/>
  </r>
  <r>
    <x v="18"/>
    <x v="15"/>
    <x v="6"/>
    <n v="0"/>
    <s v="Standalone"/>
    <x v="0"/>
  </r>
  <r>
    <x v="18"/>
    <x v="16"/>
    <x v="6"/>
    <n v="130"/>
    <s v="Standalone"/>
    <x v="0"/>
  </r>
  <r>
    <x v="18"/>
    <x v="17"/>
    <x v="7"/>
    <n v="105"/>
    <s v="Standalone"/>
    <x v="0"/>
  </r>
  <r>
    <x v="18"/>
    <x v="18"/>
    <x v="7"/>
    <n v="0"/>
    <s v="Standalone"/>
    <x v="0"/>
  </r>
  <r>
    <x v="18"/>
    <x v="19"/>
    <x v="7"/>
    <n v="0"/>
    <s v="Standalone"/>
    <x v="0"/>
  </r>
  <r>
    <x v="18"/>
    <x v="20"/>
    <x v="8"/>
    <n v="1195"/>
    <s v="Total"/>
    <x v="0"/>
  </r>
  <r>
    <x v="18"/>
    <x v="21"/>
    <x v="8"/>
    <n v="1193"/>
    <s v="Detail"/>
    <x v="1"/>
  </r>
  <r>
    <x v="18"/>
    <x v="22"/>
    <x v="8"/>
    <n v="2"/>
    <s v="Detail"/>
    <x v="1"/>
  </r>
  <r>
    <x v="18"/>
    <x v="23"/>
    <x v="9"/>
    <n v="123"/>
    <s v="Total"/>
    <x v="0"/>
  </r>
  <r>
    <x v="18"/>
    <x v="24"/>
    <x v="9"/>
    <n v="123"/>
    <s v="Detail"/>
    <x v="1"/>
  </r>
  <r>
    <x v="18"/>
    <x v="25"/>
    <x v="9"/>
    <n v="0"/>
    <s v="Detail"/>
    <x v="1"/>
  </r>
  <r>
    <x v="18"/>
    <x v="26"/>
    <x v="10"/>
    <n v="9367"/>
    <s v="Total"/>
    <x v="0"/>
  </r>
  <r>
    <x v="18"/>
    <x v="27"/>
    <x v="10"/>
    <n v="9365"/>
    <s v="Detail"/>
    <x v="1"/>
  </r>
  <r>
    <x v="18"/>
    <x v="28"/>
    <x v="10"/>
    <n v="2"/>
    <s v="Detail"/>
    <x v="1"/>
  </r>
  <r>
    <x v="18"/>
    <x v="29"/>
    <x v="11"/>
    <n v="569"/>
    <s v="Total"/>
    <x v="0"/>
  </r>
  <r>
    <x v="18"/>
    <x v="30"/>
    <x v="11"/>
    <n v="569"/>
    <s v="Detail"/>
    <x v="1"/>
  </r>
  <r>
    <x v="18"/>
    <x v="31"/>
    <x v="11"/>
    <n v="0"/>
    <s v="Detail"/>
    <x v="1"/>
  </r>
  <r>
    <x v="18"/>
    <x v="32"/>
    <x v="12"/>
    <n v="5"/>
    <s v="Standalone"/>
    <x v="0"/>
  </r>
  <r>
    <x v="18"/>
    <x v="33"/>
    <x v="13"/>
    <n v="15"/>
    <s v="Total"/>
    <x v="0"/>
  </r>
  <r>
    <x v="18"/>
    <x v="34"/>
    <x v="13"/>
    <n v="3"/>
    <s v="Detail"/>
    <x v="1"/>
  </r>
  <r>
    <x v="18"/>
    <x v="35"/>
    <x v="13"/>
    <n v="0"/>
    <s v="Detail"/>
    <x v="1"/>
  </r>
  <r>
    <x v="18"/>
    <x v="36"/>
    <x v="13"/>
    <n v="0"/>
    <s v="Detail"/>
    <x v="1"/>
  </r>
  <r>
    <x v="18"/>
    <x v="37"/>
    <x v="13"/>
    <n v="7"/>
    <s v="Detail"/>
    <x v="1"/>
  </r>
  <r>
    <x v="18"/>
    <x v="38"/>
    <x v="13"/>
    <n v="5"/>
    <s v="Detail"/>
    <x v="1"/>
  </r>
  <r>
    <x v="18"/>
    <x v="39"/>
    <x v="5"/>
    <n v="0"/>
    <s v="Standalone"/>
    <x v="0"/>
  </r>
  <r>
    <x v="18"/>
    <x v="40"/>
    <x v="14"/>
    <n v="761"/>
    <s v="Total"/>
    <x v="0"/>
  </r>
  <r>
    <x v="18"/>
    <x v="41"/>
    <x v="14"/>
    <n v="358"/>
    <s v="Detail"/>
    <x v="1"/>
  </r>
  <r>
    <x v="18"/>
    <x v="42"/>
    <x v="14"/>
    <n v="403"/>
    <s v="Detail"/>
    <x v="1"/>
  </r>
  <r>
    <x v="18"/>
    <x v="43"/>
    <x v="15"/>
    <n v="2368"/>
    <s v="Total"/>
    <x v="0"/>
  </r>
  <r>
    <x v="18"/>
    <x v="44"/>
    <x v="15"/>
    <n v="1631"/>
    <s v="Detail"/>
    <x v="1"/>
  </r>
  <r>
    <x v="18"/>
    <x v="45"/>
    <x v="15"/>
    <n v="701"/>
    <s v="Detail"/>
    <x v="1"/>
  </r>
  <r>
    <x v="18"/>
    <x v="46"/>
    <x v="15"/>
    <n v="1"/>
    <s v="Detail"/>
    <x v="1"/>
  </r>
  <r>
    <x v="18"/>
    <x v="47"/>
    <x v="15"/>
    <n v="30"/>
    <s v="Detail"/>
    <x v="1"/>
  </r>
  <r>
    <x v="18"/>
    <x v="48"/>
    <x v="15"/>
    <n v="5"/>
    <s v="Detail"/>
    <x v="1"/>
  </r>
  <r>
    <x v="18"/>
    <x v="49"/>
    <x v="15"/>
    <n v="0"/>
    <s v="Detail"/>
    <x v="1"/>
  </r>
  <r>
    <x v="18"/>
    <x v="50"/>
    <x v="16"/>
    <n v="8"/>
    <s v="Standalone"/>
    <x v="0"/>
  </r>
  <r>
    <x v="19"/>
    <x v="0"/>
    <x v="0"/>
    <n v="6"/>
    <s v="Standalone"/>
    <x v="0"/>
  </r>
  <r>
    <x v="19"/>
    <x v="1"/>
    <x v="1"/>
    <n v="44"/>
    <s v="Standalone"/>
    <x v="0"/>
  </r>
  <r>
    <x v="19"/>
    <x v="2"/>
    <x v="2"/>
    <n v="198"/>
    <s v="Standalone"/>
    <x v="0"/>
  </r>
  <r>
    <x v="19"/>
    <x v="3"/>
    <x v="3"/>
    <n v="7"/>
    <s v="Standalone"/>
    <x v="0"/>
  </r>
  <r>
    <x v="19"/>
    <x v="4"/>
    <x v="4"/>
    <n v="3"/>
    <s v="Standalone"/>
    <x v="0"/>
  </r>
  <r>
    <x v="19"/>
    <x v="5"/>
    <x v="4"/>
    <n v="0"/>
    <s v="Standalone"/>
    <x v="0"/>
  </r>
  <r>
    <x v="19"/>
    <x v="6"/>
    <x v="5"/>
    <n v="1532"/>
    <s v="Standalone"/>
    <x v="0"/>
  </r>
  <r>
    <x v="19"/>
    <x v="7"/>
    <x v="6"/>
    <n v="1430"/>
    <s v="Total"/>
    <x v="0"/>
  </r>
  <r>
    <x v="19"/>
    <x v="8"/>
    <x v="6"/>
    <n v="12"/>
    <s v="Detail"/>
    <x v="1"/>
  </r>
  <r>
    <x v="19"/>
    <x v="9"/>
    <x v="6"/>
    <n v="1"/>
    <s v="Detail"/>
    <x v="1"/>
  </r>
  <r>
    <x v="19"/>
    <x v="10"/>
    <x v="6"/>
    <n v="0"/>
    <s v="Detail"/>
    <x v="1"/>
  </r>
  <r>
    <x v="19"/>
    <x v="11"/>
    <x v="6"/>
    <n v="1383"/>
    <s v="Total"/>
    <x v="1"/>
  </r>
  <r>
    <x v="19"/>
    <x v="12"/>
    <x v="6"/>
    <n v="105"/>
    <s v="Detail"/>
    <x v="1"/>
  </r>
  <r>
    <x v="19"/>
    <x v="13"/>
    <x v="6"/>
    <n v="1278"/>
    <s v="Detail"/>
    <x v="1"/>
  </r>
  <r>
    <x v="19"/>
    <x v="14"/>
    <x v="6"/>
    <n v="0"/>
    <s v="Standalone"/>
    <x v="0"/>
  </r>
  <r>
    <x v="19"/>
    <x v="15"/>
    <x v="6"/>
    <n v="0"/>
    <s v="Standalone"/>
    <x v="0"/>
  </r>
  <r>
    <x v="19"/>
    <x v="16"/>
    <x v="6"/>
    <n v="34"/>
    <s v="Standalone"/>
    <x v="0"/>
  </r>
  <r>
    <x v="19"/>
    <x v="17"/>
    <x v="7"/>
    <n v="20"/>
    <s v="Standalone"/>
    <x v="0"/>
  </r>
  <r>
    <x v="19"/>
    <x v="18"/>
    <x v="7"/>
    <n v="0"/>
    <s v="Standalone"/>
    <x v="0"/>
  </r>
  <r>
    <x v="19"/>
    <x v="19"/>
    <x v="7"/>
    <n v="0"/>
    <s v="Standalone"/>
    <x v="0"/>
  </r>
  <r>
    <x v="19"/>
    <x v="20"/>
    <x v="8"/>
    <n v="457"/>
    <s v="Total"/>
    <x v="0"/>
  </r>
  <r>
    <x v="19"/>
    <x v="21"/>
    <x v="8"/>
    <n v="457"/>
    <s v="Detail"/>
    <x v="1"/>
  </r>
  <r>
    <x v="19"/>
    <x v="22"/>
    <x v="8"/>
    <n v="0"/>
    <s v="Detail"/>
    <x v="1"/>
  </r>
  <r>
    <x v="19"/>
    <x v="23"/>
    <x v="9"/>
    <n v="23"/>
    <s v="Total"/>
    <x v="0"/>
  </r>
  <r>
    <x v="19"/>
    <x v="24"/>
    <x v="9"/>
    <n v="13"/>
    <s v="Detail"/>
    <x v="1"/>
  </r>
  <r>
    <x v="19"/>
    <x v="25"/>
    <x v="9"/>
    <n v="10"/>
    <s v="Detail"/>
    <x v="1"/>
  </r>
  <r>
    <x v="19"/>
    <x v="26"/>
    <x v="10"/>
    <n v="656"/>
    <s v="Total"/>
    <x v="0"/>
  </r>
  <r>
    <x v="19"/>
    <x v="27"/>
    <x v="10"/>
    <n v="618"/>
    <s v="Detail"/>
    <x v="1"/>
  </r>
  <r>
    <x v="19"/>
    <x v="28"/>
    <x v="10"/>
    <n v="38"/>
    <s v="Detail"/>
    <x v="1"/>
  </r>
  <r>
    <x v="19"/>
    <x v="29"/>
    <x v="11"/>
    <n v="20"/>
    <s v="Total"/>
    <x v="0"/>
  </r>
  <r>
    <x v="19"/>
    <x v="30"/>
    <x v="11"/>
    <n v="20"/>
    <s v="Detail"/>
    <x v="1"/>
  </r>
  <r>
    <x v="19"/>
    <x v="31"/>
    <x v="11"/>
    <n v="0"/>
    <s v="Detail"/>
    <x v="1"/>
  </r>
  <r>
    <x v="19"/>
    <x v="32"/>
    <x v="12"/>
    <n v="4"/>
    <s v="Standalone"/>
    <x v="0"/>
  </r>
  <r>
    <x v="19"/>
    <x v="33"/>
    <x v="13"/>
    <n v="39"/>
    <s v="Total"/>
    <x v="0"/>
  </r>
  <r>
    <x v="19"/>
    <x v="34"/>
    <x v="13"/>
    <n v="2"/>
    <s v="Detail"/>
    <x v="1"/>
  </r>
  <r>
    <x v="19"/>
    <x v="35"/>
    <x v="13"/>
    <n v="0"/>
    <s v="Detail"/>
    <x v="1"/>
  </r>
  <r>
    <x v="19"/>
    <x v="36"/>
    <x v="13"/>
    <n v="4"/>
    <s v="Detail"/>
    <x v="1"/>
  </r>
  <r>
    <x v="19"/>
    <x v="37"/>
    <x v="13"/>
    <n v="2"/>
    <s v="Detail"/>
    <x v="1"/>
  </r>
  <r>
    <x v="19"/>
    <x v="38"/>
    <x v="13"/>
    <n v="31"/>
    <s v="Detail"/>
    <x v="1"/>
  </r>
  <r>
    <x v="19"/>
    <x v="39"/>
    <x v="5"/>
    <n v="0"/>
    <s v="Standalone"/>
    <x v="0"/>
  </r>
  <r>
    <x v="19"/>
    <x v="40"/>
    <x v="14"/>
    <n v="37"/>
    <s v="Total"/>
    <x v="0"/>
  </r>
  <r>
    <x v="19"/>
    <x v="41"/>
    <x v="14"/>
    <n v="27"/>
    <s v="Detail"/>
    <x v="1"/>
  </r>
  <r>
    <x v="19"/>
    <x v="42"/>
    <x v="14"/>
    <n v="10"/>
    <s v="Detail"/>
    <x v="1"/>
  </r>
  <r>
    <x v="19"/>
    <x v="43"/>
    <x v="15"/>
    <n v="782"/>
    <s v="Total"/>
    <x v="0"/>
  </r>
  <r>
    <x v="19"/>
    <x v="44"/>
    <x v="15"/>
    <n v="616"/>
    <s v="Detail"/>
    <x v="1"/>
  </r>
  <r>
    <x v="19"/>
    <x v="45"/>
    <x v="15"/>
    <n v="152"/>
    <s v="Detail"/>
    <x v="1"/>
  </r>
  <r>
    <x v="19"/>
    <x v="46"/>
    <x v="15"/>
    <n v="2"/>
    <s v="Detail"/>
    <x v="1"/>
  </r>
  <r>
    <x v="19"/>
    <x v="47"/>
    <x v="15"/>
    <n v="11"/>
    <s v="Detail"/>
    <x v="1"/>
  </r>
  <r>
    <x v="19"/>
    <x v="48"/>
    <x v="15"/>
    <n v="1"/>
    <s v="Detail"/>
    <x v="1"/>
  </r>
  <r>
    <x v="19"/>
    <x v="49"/>
    <x v="15"/>
    <n v="0"/>
    <s v="Detail"/>
    <x v="1"/>
  </r>
  <r>
    <x v="19"/>
    <x v="50"/>
    <x v="16"/>
    <n v="0"/>
    <s v="Standalone"/>
    <x v="0"/>
  </r>
  <r>
    <x v="20"/>
    <x v="0"/>
    <x v="0"/>
    <n v="20"/>
    <s v="Standalone"/>
    <x v="0"/>
  </r>
  <r>
    <x v="20"/>
    <x v="1"/>
    <x v="1"/>
    <n v="428"/>
    <s v="Standalone"/>
    <x v="0"/>
  </r>
  <r>
    <x v="20"/>
    <x v="2"/>
    <x v="2"/>
    <n v="165"/>
    <s v="Standalone"/>
    <x v="0"/>
  </r>
  <r>
    <x v="20"/>
    <x v="3"/>
    <x v="3"/>
    <n v="4"/>
    <s v="Standalone"/>
    <x v="0"/>
  </r>
  <r>
    <x v="20"/>
    <x v="4"/>
    <x v="4"/>
    <n v="4"/>
    <s v="Standalone"/>
    <x v="0"/>
  </r>
  <r>
    <x v="20"/>
    <x v="5"/>
    <x v="4"/>
    <n v="1"/>
    <s v="Standalone"/>
    <x v="0"/>
  </r>
  <r>
    <x v="20"/>
    <x v="6"/>
    <x v="5"/>
    <n v="18033"/>
    <s v="Standalone"/>
    <x v="0"/>
  </r>
  <r>
    <x v="20"/>
    <x v="7"/>
    <x v="6"/>
    <n v="7522"/>
    <s v="Total"/>
    <x v="0"/>
  </r>
  <r>
    <x v="20"/>
    <x v="8"/>
    <x v="6"/>
    <n v="4528"/>
    <s v="Detail"/>
    <x v="1"/>
  </r>
  <r>
    <x v="20"/>
    <x v="9"/>
    <x v="6"/>
    <n v="0"/>
    <s v="Detail"/>
    <x v="1"/>
  </r>
  <r>
    <x v="20"/>
    <x v="10"/>
    <x v="6"/>
    <n v="11"/>
    <s v="Detail"/>
    <x v="1"/>
  </r>
  <r>
    <x v="20"/>
    <x v="11"/>
    <x v="6"/>
    <n v="1546"/>
    <s v="Total"/>
    <x v="1"/>
  </r>
  <r>
    <x v="20"/>
    <x v="12"/>
    <x v="6"/>
    <n v="884"/>
    <s v="Detail"/>
    <x v="1"/>
  </r>
  <r>
    <x v="20"/>
    <x v="13"/>
    <x v="6"/>
    <n v="662"/>
    <s v="Detail"/>
    <x v="1"/>
  </r>
  <r>
    <x v="20"/>
    <x v="14"/>
    <x v="6"/>
    <n v="10"/>
    <s v="Standalone"/>
    <x v="0"/>
  </r>
  <r>
    <x v="20"/>
    <x v="15"/>
    <x v="6"/>
    <n v="0"/>
    <s v="Standalone"/>
    <x v="0"/>
  </r>
  <r>
    <x v="20"/>
    <x v="16"/>
    <x v="6"/>
    <n v="1427"/>
    <s v="Standalone"/>
    <x v="0"/>
  </r>
  <r>
    <x v="20"/>
    <x v="17"/>
    <x v="7"/>
    <n v="8"/>
    <s v="Standalone"/>
    <x v="0"/>
  </r>
  <r>
    <x v="20"/>
    <x v="18"/>
    <x v="7"/>
    <n v="0"/>
    <s v="Standalone"/>
    <x v="0"/>
  </r>
  <r>
    <x v="20"/>
    <x v="19"/>
    <x v="7"/>
    <n v="0"/>
    <s v="Standalone"/>
    <x v="0"/>
  </r>
  <r>
    <x v="20"/>
    <x v="20"/>
    <x v="8"/>
    <n v="5078"/>
    <s v="Total"/>
    <x v="0"/>
  </r>
  <r>
    <x v="20"/>
    <x v="21"/>
    <x v="8"/>
    <n v="5078"/>
    <s v="Detail"/>
    <x v="1"/>
  </r>
  <r>
    <x v="20"/>
    <x v="22"/>
    <x v="8"/>
    <n v="0"/>
    <s v="Detail"/>
    <x v="1"/>
  </r>
  <r>
    <x v="20"/>
    <x v="23"/>
    <x v="9"/>
    <n v="845"/>
    <s v="Total"/>
    <x v="0"/>
  </r>
  <r>
    <x v="20"/>
    <x v="24"/>
    <x v="9"/>
    <n v="845"/>
    <s v="Detail"/>
    <x v="1"/>
  </r>
  <r>
    <x v="20"/>
    <x v="25"/>
    <x v="9"/>
    <n v="0"/>
    <s v="Detail"/>
    <x v="1"/>
  </r>
  <r>
    <x v="20"/>
    <x v="26"/>
    <x v="10"/>
    <n v="9456"/>
    <s v="Total"/>
    <x v="0"/>
  </r>
  <r>
    <x v="20"/>
    <x v="27"/>
    <x v="10"/>
    <n v="9456"/>
    <s v="Detail"/>
    <x v="1"/>
  </r>
  <r>
    <x v="20"/>
    <x v="28"/>
    <x v="10"/>
    <n v="0"/>
    <s v="Detail"/>
    <x v="1"/>
  </r>
  <r>
    <x v="20"/>
    <x v="29"/>
    <x v="11"/>
    <n v="81"/>
    <s v="Total"/>
    <x v="0"/>
  </r>
  <r>
    <x v="20"/>
    <x v="30"/>
    <x v="11"/>
    <n v="81"/>
    <s v="Detail"/>
    <x v="1"/>
  </r>
  <r>
    <x v="20"/>
    <x v="31"/>
    <x v="11"/>
    <n v="0"/>
    <s v="Detail"/>
    <x v="1"/>
  </r>
  <r>
    <x v="20"/>
    <x v="32"/>
    <x v="12"/>
    <n v="1"/>
    <s v="Standalone"/>
    <x v="0"/>
  </r>
  <r>
    <x v="20"/>
    <x v="33"/>
    <x v="13"/>
    <n v="16"/>
    <s v="Total"/>
    <x v="0"/>
  </r>
  <r>
    <x v="20"/>
    <x v="34"/>
    <x v="13"/>
    <n v="6"/>
    <s v="Detail"/>
    <x v="1"/>
  </r>
  <r>
    <x v="20"/>
    <x v="35"/>
    <x v="13"/>
    <n v="0"/>
    <s v="Detail"/>
    <x v="1"/>
  </r>
  <r>
    <x v="20"/>
    <x v="36"/>
    <x v="13"/>
    <n v="3"/>
    <s v="Detail"/>
    <x v="1"/>
  </r>
  <r>
    <x v="20"/>
    <x v="37"/>
    <x v="13"/>
    <n v="0"/>
    <s v="Detail"/>
    <x v="1"/>
  </r>
  <r>
    <x v="20"/>
    <x v="38"/>
    <x v="13"/>
    <n v="7"/>
    <s v="Detail"/>
    <x v="1"/>
  </r>
  <r>
    <x v="20"/>
    <x v="39"/>
    <x v="5"/>
    <n v="1"/>
    <s v="Standalone"/>
    <x v="0"/>
  </r>
  <r>
    <x v="20"/>
    <x v="40"/>
    <x v="14"/>
    <n v="225"/>
    <s v="Total"/>
    <x v="0"/>
  </r>
  <r>
    <x v="20"/>
    <x v="41"/>
    <x v="14"/>
    <n v="212"/>
    <s v="Detail"/>
    <x v="1"/>
  </r>
  <r>
    <x v="20"/>
    <x v="42"/>
    <x v="14"/>
    <n v="13"/>
    <s v="Detail"/>
    <x v="1"/>
  </r>
  <r>
    <x v="20"/>
    <x v="43"/>
    <x v="15"/>
    <n v="3556"/>
    <s v="Total"/>
    <x v="0"/>
  </r>
  <r>
    <x v="20"/>
    <x v="44"/>
    <x v="15"/>
    <n v="1865"/>
    <s v="Detail"/>
    <x v="1"/>
  </r>
  <r>
    <x v="20"/>
    <x v="45"/>
    <x v="15"/>
    <n v="1372"/>
    <s v="Detail"/>
    <x v="1"/>
  </r>
  <r>
    <x v="20"/>
    <x v="46"/>
    <x v="15"/>
    <n v="67"/>
    <s v="Detail"/>
    <x v="1"/>
  </r>
  <r>
    <x v="20"/>
    <x v="47"/>
    <x v="15"/>
    <n v="68"/>
    <s v="Detail"/>
    <x v="1"/>
  </r>
  <r>
    <x v="20"/>
    <x v="48"/>
    <x v="15"/>
    <n v="183"/>
    <s v="Detail"/>
    <x v="1"/>
  </r>
  <r>
    <x v="20"/>
    <x v="49"/>
    <x v="15"/>
    <n v="1"/>
    <s v="Detail"/>
    <x v="1"/>
  </r>
  <r>
    <x v="20"/>
    <x v="50"/>
    <x v="16"/>
    <n v="6"/>
    <s v="Standalone"/>
    <x v="0"/>
  </r>
  <r>
    <x v="21"/>
    <x v="0"/>
    <x v="0"/>
    <n v="1"/>
    <s v="Standalone"/>
    <x v="0"/>
  </r>
  <r>
    <x v="21"/>
    <x v="1"/>
    <x v="1"/>
    <n v="0"/>
    <s v="Standalone"/>
    <x v="0"/>
  </r>
  <r>
    <x v="21"/>
    <x v="2"/>
    <x v="2"/>
    <n v="2"/>
    <s v="Standalone"/>
    <x v="0"/>
  </r>
  <r>
    <x v="21"/>
    <x v="3"/>
    <x v="3"/>
    <n v="0"/>
    <s v="Standalone"/>
    <x v="0"/>
  </r>
  <r>
    <x v="21"/>
    <x v="4"/>
    <x v="4"/>
    <n v="0"/>
    <s v="Standalone"/>
    <x v="0"/>
  </r>
  <r>
    <x v="21"/>
    <x v="5"/>
    <x v="4"/>
    <n v="0"/>
    <s v="Standalone"/>
    <x v="0"/>
  </r>
  <r>
    <x v="21"/>
    <x v="6"/>
    <x v="5"/>
    <n v="1"/>
    <s v="Standalone"/>
    <x v="0"/>
  </r>
  <r>
    <x v="21"/>
    <x v="7"/>
    <x v="6"/>
    <n v="15"/>
    <s v="Total"/>
    <x v="0"/>
  </r>
  <r>
    <x v="21"/>
    <x v="8"/>
    <x v="6"/>
    <n v="14"/>
    <s v="Detail"/>
    <x v="1"/>
  </r>
  <r>
    <x v="21"/>
    <x v="9"/>
    <x v="6"/>
    <n v="0"/>
    <s v="Detail"/>
    <x v="1"/>
  </r>
  <r>
    <x v="21"/>
    <x v="10"/>
    <x v="6"/>
    <n v="0"/>
    <s v="Detail"/>
    <x v="1"/>
  </r>
  <r>
    <x v="21"/>
    <x v="11"/>
    <x v="6"/>
    <n v="1"/>
    <s v="Total"/>
    <x v="1"/>
  </r>
  <r>
    <x v="21"/>
    <x v="12"/>
    <x v="6"/>
    <n v="0"/>
    <s v="Detail"/>
    <x v="1"/>
  </r>
  <r>
    <x v="21"/>
    <x v="13"/>
    <x v="6"/>
    <n v="1"/>
    <s v="Detail"/>
    <x v="1"/>
  </r>
  <r>
    <x v="21"/>
    <x v="14"/>
    <x v="6"/>
    <n v="0"/>
    <s v="Standalone"/>
    <x v="0"/>
  </r>
  <r>
    <x v="21"/>
    <x v="15"/>
    <x v="6"/>
    <n v="0"/>
    <s v="Standalone"/>
    <x v="0"/>
  </r>
  <r>
    <x v="21"/>
    <x v="16"/>
    <x v="6"/>
    <n v="0"/>
    <s v="Standalone"/>
    <x v="0"/>
  </r>
  <r>
    <x v="21"/>
    <x v="17"/>
    <x v="7"/>
    <n v="0"/>
    <s v="Standalone"/>
    <x v="0"/>
  </r>
  <r>
    <x v="21"/>
    <x v="18"/>
    <x v="7"/>
    <n v="0"/>
    <s v="Standalone"/>
    <x v="0"/>
  </r>
  <r>
    <x v="21"/>
    <x v="19"/>
    <x v="7"/>
    <n v="0"/>
    <s v="Standalone"/>
    <x v="0"/>
  </r>
  <r>
    <x v="21"/>
    <x v="20"/>
    <x v="8"/>
    <n v="9"/>
    <s v="Total"/>
    <x v="0"/>
  </r>
  <r>
    <x v="21"/>
    <x v="21"/>
    <x v="8"/>
    <n v="9"/>
    <s v="Detail"/>
    <x v="1"/>
  </r>
  <r>
    <x v="21"/>
    <x v="22"/>
    <x v="8"/>
    <n v="0"/>
    <s v="Detail"/>
    <x v="1"/>
  </r>
  <r>
    <x v="21"/>
    <x v="23"/>
    <x v="9"/>
    <n v="0"/>
    <s v="Total"/>
    <x v="0"/>
  </r>
  <r>
    <x v="21"/>
    <x v="24"/>
    <x v="9"/>
    <n v="0"/>
    <s v="Detail"/>
    <x v="1"/>
  </r>
  <r>
    <x v="21"/>
    <x v="25"/>
    <x v="9"/>
    <n v="0"/>
    <s v="Detail"/>
    <x v="1"/>
  </r>
  <r>
    <x v="21"/>
    <x v="26"/>
    <x v="10"/>
    <n v="16"/>
    <s v="Total"/>
    <x v="0"/>
  </r>
  <r>
    <x v="21"/>
    <x v="27"/>
    <x v="10"/>
    <n v="16"/>
    <s v="Detail"/>
    <x v="1"/>
  </r>
  <r>
    <x v="21"/>
    <x v="28"/>
    <x v="10"/>
    <n v="0"/>
    <s v="Detail"/>
    <x v="1"/>
  </r>
  <r>
    <x v="21"/>
    <x v="29"/>
    <x v="11"/>
    <n v="0"/>
    <s v="Total"/>
    <x v="0"/>
  </r>
  <r>
    <x v="21"/>
    <x v="30"/>
    <x v="11"/>
    <n v="0"/>
    <s v="Detail"/>
    <x v="1"/>
  </r>
  <r>
    <x v="21"/>
    <x v="31"/>
    <x v="11"/>
    <n v="0"/>
    <s v="Detail"/>
    <x v="1"/>
  </r>
  <r>
    <x v="21"/>
    <x v="32"/>
    <x v="12"/>
    <n v="0"/>
    <s v="Standalone"/>
    <x v="0"/>
  </r>
  <r>
    <x v="21"/>
    <x v="33"/>
    <x v="13"/>
    <n v="0"/>
    <s v="Total"/>
    <x v="0"/>
  </r>
  <r>
    <x v="21"/>
    <x v="34"/>
    <x v="13"/>
    <n v="0"/>
    <s v="Detail"/>
    <x v="1"/>
  </r>
  <r>
    <x v="21"/>
    <x v="35"/>
    <x v="13"/>
    <n v="0"/>
    <s v="Detail"/>
    <x v="1"/>
  </r>
  <r>
    <x v="21"/>
    <x v="36"/>
    <x v="13"/>
    <n v="0"/>
    <s v="Detail"/>
    <x v="1"/>
  </r>
  <r>
    <x v="21"/>
    <x v="37"/>
    <x v="13"/>
    <n v="0"/>
    <s v="Detail"/>
    <x v="1"/>
  </r>
  <r>
    <x v="21"/>
    <x v="38"/>
    <x v="13"/>
    <n v="0"/>
    <s v="Detail"/>
    <x v="1"/>
  </r>
  <r>
    <x v="21"/>
    <x v="39"/>
    <x v="5"/>
    <n v="0"/>
    <s v="Standalone"/>
    <x v="0"/>
  </r>
  <r>
    <x v="21"/>
    <x v="40"/>
    <x v="14"/>
    <n v="4"/>
    <s v="Total"/>
    <x v="0"/>
  </r>
  <r>
    <x v="21"/>
    <x v="41"/>
    <x v="14"/>
    <n v="4"/>
    <s v="Detail"/>
    <x v="1"/>
  </r>
  <r>
    <x v="21"/>
    <x v="42"/>
    <x v="14"/>
    <n v="0"/>
    <s v="Detail"/>
    <x v="1"/>
  </r>
  <r>
    <x v="21"/>
    <x v="43"/>
    <x v="15"/>
    <n v="86"/>
    <s v="Total"/>
    <x v="0"/>
  </r>
  <r>
    <x v="21"/>
    <x v="44"/>
    <x v="15"/>
    <n v="65"/>
    <s v="Detail"/>
    <x v="1"/>
  </r>
  <r>
    <x v="21"/>
    <x v="45"/>
    <x v="15"/>
    <n v="18"/>
    <s v="Detail"/>
    <x v="1"/>
  </r>
  <r>
    <x v="21"/>
    <x v="46"/>
    <x v="15"/>
    <n v="3"/>
    <s v="Detail"/>
    <x v="1"/>
  </r>
  <r>
    <x v="21"/>
    <x v="47"/>
    <x v="15"/>
    <n v="0"/>
    <s v="Detail"/>
    <x v="1"/>
  </r>
  <r>
    <x v="21"/>
    <x v="48"/>
    <x v="15"/>
    <n v="0"/>
    <s v="Detail"/>
    <x v="1"/>
  </r>
  <r>
    <x v="21"/>
    <x v="49"/>
    <x v="15"/>
    <n v="0"/>
    <s v="Detail"/>
    <x v="1"/>
  </r>
  <r>
    <x v="21"/>
    <x v="50"/>
    <x v="16"/>
    <n v="0"/>
    <s v="Standalone"/>
    <x v="0"/>
  </r>
  <r>
    <x v="22"/>
    <x v="0"/>
    <x v="0"/>
    <n v="9"/>
    <s v="Standalone"/>
    <x v="0"/>
  </r>
  <r>
    <x v="22"/>
    <x v="1"/>
    <x v="1"/>
    <n v="11"/>
    <s v="Standalone"/>
    <x v="0"/>
  </r>
  <r>
    <x v="22"/>
    <x v="2"/>
    <x v="2"/>
    <n v="143"/>
    <s v="Standalone"/>
    <x v="0"/>
  </r>
  <r>
    <x v="22"/>
    <x v="3"/>
    <x v="3"/>
    <n v="2"/>
    <s v="Standalone"/>
    <x v="0"/>
  </r>
  <r>
    <x v="22"/>
    <x v="4"/>
    <x v="4"/>
    <n v="3"/>
    <s v="Standalone"/>
    <x v="0"/>
  </r>
  <r>
    <x v="22"/>
    <x v="5"/>
    <x v="4"/>
    <n v="0"/>
    <s v="Standalone"/>
    <x v="0"/>
  </r>
  <r>
    <x v="22"/>
    <x v="6"/>
    <x v="5"/>
    <n v="1017"/>
    <s v="Standalone"/>
    <x v="0"/>
  </r>
  <r>
    <x v="22"/>
    <x v="7"/>
    <x v="6"/>
    <n v="290"/>
    <s v="Total"/>
    <x v="0"/>
  </r>
  <r>
    <x v="22"/>
    <x v="8"/>
    <x v="6"/>
    <n v="57"/>
    <s v="Detail"/>
    <x v="1"/>
  </r>
  <r>
    <x v="22"/>
    <x v="9"/>
    <x v="6"/>
    <n v="0"/>
    <s v="Detail"/>
    <x v="1"/>
  </r>
  <r>
    <x v="22"/>
    <x v="10"/>
    <x v="6"/>
    <n v="5"/>
    <s v="Detail"/>
    <x v="1"/>
  </r>
  <r>
    <x v="22"/>
    <x v="11"/>
    <x v="6"/>
    <n v="193"/>
    <s v="Total"/>
    <x v="1"/>
  </r>
  <r>
    <x v="22"/>
    <x v="12"/>
    <x v="6"/>
    <n v="92"/>
    <s v="Detail"/>
    <x v="1"/>
  </r>
  <r>
    <x v="22"/>
    <x v="13"/>
    <x v="6"/>
    <n v="101"/>
    <s v="Detail"/>
    <x v="1"/>
  </r>
  <r>
    <x v="22"/>
    <x v="14"/>
    <x v="6"/>
    <n v="28"/>
    <s v="Standalone"/>
    <x v="0"/>
  </r>
  <r>
    <x v="22"/>
    <x v="15"/>
    <x v="6"/>
    <n v="0"/>
    <s v="Standalone"/>
    <x v="0"/>
  </r>
  <r>
    <x v="22"/>
    <x v="16"/>
    <x v="6"/>
    <n v="7"/>
    <s v="Standalone"/>
    <x v="0"/>
  </r>
  <r>
    <x v="22"/>
    <x v="17"/>
    <x v="7"/>
    <n v="2"/>
    <s v="Standalone"/>
    <x v="0"/>
  </r>
  <r>
    <x v="22"/>
    <x v="18"/>
    <x v="7"/>
    <n v="0"/>
    <s v="Standalone"/>
    <x v="0"/>
  </r>
  <r>
    <x v="22"/>
    <x v="19"/>
    <x v="7"/>
    <n v="0"/>
    <s v="Standalone"/>
    <x v="0"/>
  </r>
  <r>
    <x v="22"/>
    <x v="20"/>
    <x v="8"/>
    <n v="365"/>
    <s v="Total"/>
    <x v="0"/>
  </r>
  <r>
    <x v="22"/>
    <x v="21"/>
    <x v="8"/>
    <n v="365"/>
    <s v="Detail"/>
    <x v="1"/>
  </r>
  <r>
    <x v="22"/>
    <x v="22"/>
    <x v="8"/>
    <n v="0"/>
    <s v="Detail"/>
    <x v="1"/>
  </r>
  <r>
    <x v="22"/>
    <x v="23"/>
    <x v="9"/>
    <n v="41"/>
    <s v="Total"/>
    <x v="0"/>
  </r>
  <r>
    <x v="22"/>
    <x v="24"/>
    <x v="9"/>
    <n v="41"/>
    <s v="Detail"/>
    <x v="1"/>
  </r>
  <r>
    <x v="22"/>
    <x v="25"/>
    <x v="9"/>
    <n v="0"/>
    <s v="Detail"/>
    <x v="1"/>
  </r>
  <r>
    <x v="22"/>
    <x v="26"/>
    <x v="10"/>
    <n v="1650"/>
    <s v="Total"/>
    <x v="0"/>
  </r>
  <r>
    <x v="22"/>
    <x v="27"/>
    <x v="10"/>
    <n v="1641"/>
    <s v="Detail"/>
    <x v="1"/>
  </r>
  <r>
    <x v="22"/>
    <x v="28"/>
    <x v="10"/>
    <n v="9"/>
    <s v="Detail"/>
    <x v="1"/>
  </r>
  <r>
    <x v="22"/>
    <x v="29"/>
    <x v="11"/>
    <n v="46"/>
    <s v="Total"/>
    <x v="0"/>
  </r>
  <r>
    <x v="22"/>
    <x v="30"/>
    <x v="11"/>
    <n v="46"/>
    <s v="Detail"/>
    <x v="1"/>
  </r>
  <r>
    <x v="22"/>
    <x v="31"/>
    <x v="11"/>
    <n v="0"/>
    <s v="Detail"/>
    <x v="1"/>
  </r>
  <r>
    <x v="22"/>
    <x v="32"/>
    <x v="12"/>
    <n v="144"/>
    <s v="Standalone"/>
    <x v="0"/>
  </r>
  <r>
    <x v="22"/>
    <x v="33"/>
    <x v="13"/>
    <n v="619"/>
    <s v="Total"/>
    <x v="0"/>
  </r>
  <r>
    <x v="22"/>
    <x v="34"/>
    <x v="13"/>
    <n v="147"/>
    <s v="Detail"/>
    <x v="1"/>
  </r>
  <r>
    <x v="22"/>
    <x v="35"/>
    <x v="13"/>
    <n v="81"/>
    <s v="Detail"/>
    <x v="1"/>
  </r>
  <r>
    <x v="22"/>
    <x v="36"/>
    <x v="13"/>
    <n v="38"/>
    <s v="Detail"/>
    <x v="1"/>
  </r>
  <r>
    <x v="22"/>
    <x v="37"/>
    <x v="13"/>
    <n v="32"/>
    <s v="Detail"/>
    <x v="1"/>
  </r>
  <r>
    <x v="22"/>
    <x v="38"/>
    <x v="13"/>
    <n v="321"/>
    <s v="Detail"/>
    <x v="1"/>
  </r>
  <r>
    <x v="22"/>
    <x v="39"/>
    <x v="5"/>
    <n v="4"/>
    <s v="Standalone"/>
    <x v="0"/>
  </r>
  <r>
    <x v="22"/>
    <x v="40"/>
    <x v="14"/>
    <n v="91"/>
    <s v="Total"/>
    <x v="0"/>
  </r>
  <r>
    <x v="22"/>
    <x v="41"/>
    <x v="14"/>
    <n v="76"/>
    <s v="Detail"/>
    <x v="1"/>
  </r>
  <r>
    <x v="22"/>
    <x v="42"/>
    <x v="14"/>
    <n v="15"/>
    <s v="Detail"/>
    <x v="1"/>
  </r>
  <r>
    <x v="22"/>
    <x v="43"/>
    <x v="15"/>
    <n v="4505"/>
    <s v="Total"/>
    <x v="0"/>
  </r>
  <r>
    <x v="22"/>
    <x v="44"/>
    <x v="15"/>
    <n v="3347"/>
    <s v="Detail"/>
    <x v="1"/>
  </r>
  <r>
    <x v="22"/>
    <x v="45"/>
    <x v="15"/>
    <n v="857"/>
    <s v="Detail"/>
    <x v="1"/>
  </r>
  <r>
    <x v="22"/>
    <x v="46"/>
    <x v="15"/>
    <n v="289"/>
    <s v="Detail"/>
    <x v="1"/>
  </r>
  <r>
    <x v="22"/>
    <x v="47"/>
    <x v="15"/>
    <n v="9"/>
    <s v="Detail"/>
    <x v="1"/>
  </r>
  <r>
    <x v="22"/>
    <x v="48"/>
    <x v="15"/>
    <n v="3"/>
    <s v="Detail"/>
    <x v="1"/>
  </r>
  <r>
    <x v="22"/>
    <x v="49"/>
    <x v="15"/>
    <n v="0"/>
    <s v="Detail"/>
    <x v="1"/>
  </r>
  <r>
    <x v="22"/>
    <x v="50"/>
    <x v="16"/>
    <n v="1"/>
    <s v="Standalone"/>
    <x v="0"/>
  </r>
  <r>
    <x v="23"/>
    <x v="0"/>
    <x v="0"/>
    <n v="14"/>
    <s v="Standalone"/>
    <x v="0"/>
  </r>
  <r>
    <x v="23"/>
    <x v="1"/>
    <x v="1"/>
    <n v="145"/>
    <s v="Standalone"/>
    <x v="0"/>
  </r>
  <r>
    <x v="23"/>
    <x v="2"/>
    <x v="2"/>
    <n v="401"/>
    <s v="Standalone"/>
    <x v="0"/>
  </r>
  <r>
    <x v="23"/>
    <x v="3"/>
    <x v="3"/>
    <n v="0"/>
    <s v="Standalone"/>
    <x v="0"/>
  </r>
  <r>
    <x v="23"/>
    <x v="4"/>
    <x v="4"/>
    <n v="1"/>
    <s v="Standalone"/>
    <x v="0"/>
  </r>
  <r>
    <x v="23"/>
    <x v="5"/>
    <x v="4"/>
    <n v="1"/>
    <s v="Standalone"/>
    <x v="0"/>
  </r>
  <r>
    <x v="23"/>
    <x v="6"/>
    <x v="5"/>
    <n v="10518"/>
    <s v="Standalone"/>
    <x v="0"/>
  </r>
  <r>
    <x v="23"/>
    <x v="7"/>
    <x v="6"/>
    <n v="2152"/>
    <s v="Total"/>
    <x v="0"/>
  </r>
  <r>
    <x v="23"/>
    <x v="8"/>
    <x v="6"/>
    <n v="1816"/>
    <s v="Detail"/>
    <x v="1"/>
  </r>
  <r>
    <x v="23"/>
    <x v="9"/>
    <x v="6"/>
    <n v="0"/>
    <s v="Detail"/>
    <x v="1"/>
  </r>
  <r>
    <x v="23"/>
    <x v="10"/>
    <x v="6"/>
    <n v="0"/>
    <s v="Detail"/>
    <x v="1"/>
  </r>
  <r>
    <x v="23"/>
    <x v="11"/>
    <x v="6"/>
    <n v="220"/>
    <s v="Total"/>
    <x v="1"/>
  </r>
  <r>
    <x v="23"/>
    <x v="12"/>
    <x v="6"/>
    <n v="97"/>
    <s v="Detail"/>
    <x v="1"/>
  </r>
  <r>
    <x v="23"/>
    <x v="13"/>
    <x v="6"/>
    <n v="123"/>
    <s v="Detail"/>
    <x v="1"/>
  </r>
  <r>
    <x v="23"/>
    <x v="14"/>
    <x v="6"/>
    <n v="76"/>
    <s v="Standalone"/>
    <x v="0"/>
  </r>
  <r>
    <x v="23"/>
    <x v="15"/>
    <x v="6"/>
    <n v="0"/>
    <s v="Standalone"/>
    <x v="0"/>
  </r>
  <r>
    <x v="23"/>
    <x v="16"/>
    <x v="6"/>
    <n v="40"/>
    <s v="Standalone"/>
    <x v="0"/>
  </r>
  <r>
    <x v="23"/>
    <x v="17"/>
    <x v="7"/>
    <n v="298"/>
    <s v="Standalone"/>
    <x v="0"/>
  </r>
  <r>
    <x v="23"/>
    <x v="18"/>
    <x v="7"/>
    <n v="0"/>
    <s v="Standalone"/>
    <x v="0"/>
  </r>
  <r>
    <x v="23"/>
    <x v="19"/>
    <x v="7"/>
    <n v="0"/>
    <s v="Standalone"/>
    <x v="0"/>
  </r>
  <r>
    <x v="23"/>
    <x v="20"/>
    <x v="8"/>
    <n v="817"/>
    <s v="Total"/>
    <x v="0"/>
  </r>
  <r>
    <x v="23"/>
    <x v="21"/>
    <x v="8"/>
    <n v="814"/>
    <s v="Detail"/>
    <x v="1"/>
  </r>
  <r>
    <x v="23"/>
    <x v="22"/>
    <x v="8"/>
    <n v="3"/>
    <s v="Detail"/>
    <x v="1"/>
  </r>
  <r>
    <x v="23"/>
    <x v="23"/>
    <x v="9"/>
    <n v="41"/>
    <s v="Total"/>
    <x v="0"/>
  </r>
  <r>
    <x v="23"/>
    <x v="24"/>
    <x v="9"/>
    <n v="32"/>
    <s v="Detail"/>
    <x v="1"/>
  </r>
  <r>
    <x v="23"/>
    <x v="25"/>
    <x v="9"/>
    <n v="9"/>
    <s v="Detail"/>
    <x v="1"/>
  </r>
  <r>
    <x v="23"/>
    <x v="26"/>
    <x v="10"/>
    <n v="5024"/>
    <s v="Total"/>
    <x v="0"/>
  </r>
  <r>
    <x v="23"/>
    <x v="27"/>
    <x v="10"/>
    <n v="5009"/>
    <s v="Detail"/>
    <x v="1"/>
  </r>
  <r>
    <x v="23"/>
    <x v="28"/>
    <x v="10"/>
    <n v="15"/>
    <s v="Detail"/>
    <x v="1"/>
  </r>
  <r>
    <x v="23"/>
    <x v="29"/>
    <x v="11"/>
    <n v="957"/>
    <s v="Total"/>
    <x v="0"/>
  </r>
  <r>
    <x v="23"/>
    <x v="30"/>
    <x v="11"/>
    <n v="957"/>
    <s v="Detail"/>
    <x v="1"/>
  </r>
  <r>
    <x v="23"/>
    <x v="31"/>
    <x v="11"/>
    <n v="0"/>
    <s v="Detail"/>
    <x v="1"/>
  </r>
  <r>
    <x v="23"/>
    <x v="32"/>
    <x v="12"/>
    <n v="4"/>
    <s v="Standalone"/>
    <x v="0"/>
  </r>
  <r>
    <x v="23"/>
    <x v="33"/>
    <x v="13"/>
    <n v="57"/>
    <s v="Total"/>
    <x v="0"/>
  </r>
  <r>
    <x v="23"/>
    <x v="34"/>
    <x v="13"/>
    <n v="15"/>
    <s v="Detail"/>
    <x v="1"/>
  </r>
  <r>
    <x v="23"/>
    <x v="35"/>
    <x v="13"/>
    <n v="0"/>
    <s v="Detail"/>
    <x v="1"/>
  </r>
  <r>
    <x v="23"/>
    <x v="36"/>
    <x v="13"/>
    <n v="0"/>
    <s v="Detail"/>
    <x v="1"/>
  </r>
  <r>
    <x v="23"/>
    <x v="37"/>
    <x v="13"/>
    <n v="1"/>
    <s v="Detail"/>
    <x v="1"/>
  </r>
  <r>
    <x v="23"/>
    <x v="38"/>
    <x v="13"/>
    <n v="41"/>
    <s v="Detail"/>
    <x v="1"/>
  </r>
  <r>
    <x v="23"/>
    <x v="39"/>
    <x v="5"/>
    <n v="0"/>
    <s v="Standalone"/>
    <x v="0"/>
  </r>
  <r>
    <x v="23"/>
    <x v="40"/>
    <x v="14"/>
    <n v="120"/>
    <s v="Total"/>
    <x v="0"/>
  </r>
  <r>
    <x v="23"/>
    <x v="41"/>
    <x v="14"/>
    <n v="78"/>
    <s v="Detail"/>
    <x v="1"/>
  </r>
  <r>
    <x v="23"/>
    <x v="42"/>
    <x v="14"/>
    <n v="42"/>
    <s v="Detail"/>
    <x v="1"/>
  </r>
  <r>
    <x v="23"/>
    <x v="43"/>
    <x v="15"/>
    <n v="3128"/>
    <s v="Total"/>
    <x v="0"/>
  </r>
  <r>
    <x v="23"/>
    <x v="44"/>
    <x v="15"/>
    <n v="1758"/>
    <s v="Detail"/>
    <x v="1"/>
  </r>
  <r>
    <x v="23"/>
    <x v="45"/>
    <x v="15"/>
    <n v="1232"/>
    <s v="Detail"/>
    <x v="1"/>
  </r>
  <r>
    <x v="23"/>
    <x v="46"/>
    <x v="15"/>
    <n v="98"/>
    <s v="Detail"/>
    <x v="1"/>
  </r>
  <r>
    <x v="23"/>
    <x v="47"/>
    <x v="15"/>
    <n v="28"/>
    <s v="Detail"/>
    <x v="1"/>
  </r>
  <r>
    <x v="23"/>
    <x v="48"/>
    <x v="15"/>
    <n v="12"/>
    <s v="Detail"/>
    <x v="1"/>
  </r>
  <r>
    <x v="23"/>
    <x v="49"/>
    <x v="15"/>
    <n v="0"/>
    <s v="Detail"/>
    <x v="1"/>
  </r>
  <r>
    <x v="23"/>
    <x v="50"/>
    <x v="16"/>
    <n v="0"/>
    <s v="Standalone"/>
    <x v="0"/>
  </r>
  <r>
    <x v="24"/>
    <x v="0"/>
    <x v="0"/>
    <n v="0"/>
    <s v="Standalone"/>
    <x v="0"/>
  </r>
  <r>
    <x v="24"/>
    <x v="1"/>
    <x v="1"/>
    <n v="21"/>
    <s v="Standalone"/>
    <x v="0"/>
  </r>
  <r>
    <x v="24"/>
    <x v="2"/>
    <x v="2"/>
    <n v="14"/>
    <s v="Standalone"/>
    <x v="0"/>
  </r>
  <r>
    <x v="24"/>
    <x v="3"/>
    <x v="3"/>
    <n v="0"/>
    <s v="Standalone"/>
    <x v="0"/>
  </r>
  <r>
    <x v="24"/>
    <x v="4"/>
    <x v="4"/>
    <n v="0"/>
    <s v="Standalone"/>
    <x v="0"/>
  </r>
  <r>
    <x v="24"/>
    <x v="5"/>
    <x v="4"/>
    <n v="0"/>
    <s v="Standalone"/>
    <x v="0"/>
  </r>
  <r>
    <x v="24"/>
    <x v="6"/>
    <x v="5"/>
    <n v="319"/>
    <s v="Standalone"/>
    <x v="0"/>
  </r>
  <r>
    <x v="24"/>
    <x v="7"/>
    <x v="6"/>
    <n v="111"/>
    <s v="Total"/>
    <x v="0"/>
  </r>
  <r>
    <x v="24"/>
    <x v="8"/>
    <x v="6"/>
    <n v="36"/>
    <s v="Detail"/>
    <x v="1"/>
  </r>
  <r>
    <x v="24"/>
    <x v="9"/>
    <x v="6"/>
    <n v="1"/>
    <s v="Detail"/>
    <x v="1"/>
  </r>
  <r>
    <x v="24"/>
    <x v="10"/>
    <x v="6"/>
    <n v="0"/>
    <s v="Detail"/>
    <x v="1"/>
  </r>
  <r>
    <x v="24"/>
    <x v="11"/>
    <x v="6"/>
    <n v="29"/>
    <s v="Total"/>
    <x v="1"/>
  </r>
  <r>
    <x v="24"/>
    <x v="12"/>
    <x v="6"/>
    <n v="8"/>
    <s v="Detail"/>
    <x v="1"/>
  </r>
  <r>
    <x v="24"/>
    <x v="13"/>
    <x v="6"/>
    <n v="21"/>
    <s v="Detail"/>
    <x v="1"/>
  </r>
  <r>
    <x v="24"/>
    <x v="14"/>
    <x v="6"/>
    <n v="44"/>
    <s v="Standalone"/>
    <x v="0"/>
  </r>
  <r>
    <x v="24"/>
    <x v="15"/>
    <x v="6"/>
    <n v="0"/>
    <s v="Standalone"/>
    <x v="0"/>
  </r>
  <r>
    <x v="24"/>
    <x v="16"/>
    <x v="6"/>
    <n v="1"/>
    <s v="Standalone"/>
    <x v="0"/>
  </r>
  <r>
    <x v="24"/>
    <x v="17"/>
    <x v="7"/>
    <n v="5"/>
    <s v="Standalone"/>
    <x v="0"/>
  </r>
  <r>
    <x v="24"/>
    <x v="18"/>
    <x v="7"/>
    <n v="0"/>
    <s v="Standalone"/>
    <x v="0"/>
  </r>
  <r>
    <x v="24"/>
    <x v="19"/>
    <x v="7"/>
    <n v="0"/>
    <s v="Standalone"/>
    <x v="0"/>
  </r>
  <r>
    <x v="24"/>
    <x v="20"/>
    <x v="8"/>
    <n v="57"/>
    <s v="Total"/>
    <x v="0"/>
  </r>
  <r>
    <x v="24"/>
    <x v="21"/>
    <x v="8"/>
    <n v="57"/>
    <s v="Detail"/>
    <x v="1"/>
  </r>
  <r>
    <x v="24"/>
    <x v="22"/>
    <x v="8"/>
    <n v="0"/>
    <s v="Detail"/>
    <x v="1"/>
  </r>
  <r>
    <x v="24"/>
    <x v="23"/>
    <x v="9"/>
    <n v="5"/>
    <s v="Total"/>
    <x v="0"/>
  </r>
  <r>
    <x v="24"/>
    <x v="24"/>
    <x v="9"/>
    <n v="5"/>
    <s v="Detail"/>
    <x v="1"/>
  </r>
  <r>
    <x v="24"/>
    <x v="25"/>
    <x v="9"/>
    <n v="0"/>
    <s v="Detail"/>
    <x v="1"/>
  </r>
  <r>
    <x v="24"/>
    <x v="26"/>
    <x v="10"/>
    <n v="110"/>
    <s v="Total"/>
    <x v="0"/>
  </r>
  <r>
    <x v="24"/>
    <x v="27"/>
    <x v="10"/>
    <n v="109"/>
    <s v="Detail"/>
    <x v="1"/>
  </r>
  <r>
    <x v="24"/>
    <x v="28"/>
    <x v="10"/>
    <n v="1"/>
    <s v="Detail"/>
    <x v="1"/>
  </r>
  <r>
    <x v="24"/>
    <x v="29"/>
    <x v="11"/>
    <n v="3"/>
    <s v="Total"/>
    <x v="0"/>
  </r>
  <r>
    <x v="24"/>
    <x v="30"/>
    <x v="11"/>
    <n v="3"/>
    <s v="Detail"/>
    <x v="1"/>
  </r>
  <r>
    <x v="24"/>
    <x v="31"/>
    <x v="11"/>
    <n v="0"/>
    <s v="Detail"/>
    <x v="1"/>
  </r>
  <r>
    <x v="24"/>
    <x v="32"/>
    <x v="12"/>
    <n v="0"/>
    <s v="Standalone"/>
    <x v="0"/>
  </r>
  <r>
    <x v="24"/>
    <x v="33"/>
    <x v="13"/>
    <n v="0"/>
    <s v="Total"/>
    <x v="0"/>
  </r>
  <r>
    <x v="24"/>
    <x v="34"/>
    <x v="13"/>
    <n v="0"/>
    <s v="Detail"/>
    <x v="1"/>
  </r>
  <r>
    <x v="24"/>
    <x v="35"/>
    <x v="13"/>
    <n v="0"/>
    <s v="Detail"/>
    <x v="1"/>
  </r>
  <r>
    <x v="24"/>
    <x v="36"/>
    <x v="13"/>
    <n v="0"/>
    <s v="Detail"/>
    <x v="1"/>
  </r>
  <r>
    <x v="24"/>
    <x v="37"/>
    <x v="13"/>
    <n v="0"/>
    <s v="Detail"/>
    <x v="1"/>
  </r>
  <r>
    <x v="24"/>
    <x v="38"/>
    <x v="13"/>
    <n v="0"/>
    <s v="Detail"/>
    <x v="1"/>
  </r>
  <r>
    <x v="24"/>
    <x v="39"/>
    <x v="5"/>
    <n v="1"/>
    <s v="Standalone"/>
    <x v="0"/>
  </r>
  <r>
    <x v="24"/>
    <x v="40"/>
    <x v="14"/>
    <n v="13"/>
    <s v="Total"/>
    <x v="0"/>
  </r>
  <r>
    <x v="24"/>
    <x v="41"/>
    <x v="14"/>
    <n v="13"/>
    <s v="Detail"/>
    <x v="1"/>
  </r>
  <r>
    <x v="24"/>
    <x v="42"/>
    <x v="14"/>
    <n v="0"/>
    <s v="Detail"/>
    <x v="1"/>
  </r>
  <r>
    <x v="24"/>
    <x v="43"/>
    <x v="15"/>
    <n v="132"/>
    <s v="Total"/>
    <x v="0"/>
  </r>
  <r>
    <x v="24"/>
    <x v="44"/>
    <x v="15"/>
    <n v="82"/>
    <s v="Detail"/>
    <x v="1"/>
  </r>
  <r>
    <x v="24"/>
    <x v="45"/>
    <x v="15"/>
    <n v="41"/>
    <s v="Detail"/>
    <x v="1"/>
  </r>
  <r>
    <x v="24"/>
    <x v="46"/>
    <x v="15"/>
    <n v="8"/>
    <s v="Detail"/>
    <x v="1"/>
  </r>
  <r>
    <x v="24"/>
    <x v="47"/>
    <x v="15"/>
    <n v="1"/>
    <s v="Detail"/>
    <x v="1"/>
  </r>
  <r>
    <x v="24"/>
    <x v="48"/>
    <x v="15"/>
    <n v="0"/>
    <s v="Detail"/>
    <x v="1"/>
  </r>
  <r>
    <x v="24"/>
    <x v="49"/>
    <x v="15"/>
    <n v="0"/>
    <s v="Detail"/>
    <x v="1"/>
  </r>
  <r>
    <x v="24"/>
    <x v="50"/>
    <x v="16"/>
    <n v="0"/>
    <s v="Standalone"/>
    <x v="0"/>
  </r>
  <r>
    <x v="25"/>
    <x v="0"/>
    <x v="0"/>
    <n v="33"/>
    <s v="Standalone"/>
    <x v="0"/>
  </r>
  <r>
    <x v="25"/>
    <x v="1"/>
    <x v="1"/>
    <n v="2122"/>
    <s v="Standalone"/>
    <x v="0"/>
  </r>
  <r>
    <x v="25"/>
    <x v="2"/>
    <x v="2"/>
    <n v="395"/>
    <s v="Standalone"/>
    <x v="0"/>
  </r>
  <r>
    <x v="25"/>
    <x v="3"/>
    <x v="3"/>
    <n v="106"/>
    <s v="Standalone"/>
    <x v="0"/>
  </r>
  <r>
    <x v="25"/>
    <x v="4"/>
    <x v="4"/>
    <n v="28"/>
    <s v="Standalone"/>
    <x v="0"/>
  </r>
  <r>
    <x v="25"/>
    <x v="5"/>
    <x v="4"/>
    <n v="4"/>
    <s v="Standalone"/>
    <x v="0"/>
  </r>
  <r>
    <x v="25"/>
    <x v="6"/>
    <x v="5"/>
    <n v="19889"/>
    <s v="Standalone"/>
    <x v="0"/>
  </r>
  <r>
    <x v="25"/>
    <x v="7"/>
    <x v="6"/>
    <n v="14272"/>
    <s v="Total"/>
    <x v="0"/>
  </r>
  <r>
    <x v="25"/>
    <x v="8"/>
    <x v="6"/>
    <n v="3613"/>
    <s v="Detail"/>
    <x v="1"/>
  </r>
  <r>
    <x v="25"/>
    <x v="9"/>
    <x v="6"/>
    <n v="19"/>
    <s v="Detail"/>
    <x v="1"/>
  </r>
  <r>
    <x v="25"/>
    <x v="10"/>
    <x v="6"/>
    <n v="2"/>
    <s v="Detail"/>
    <x v="1"/>
  </r>
  <r>
    <x v="25"/>
    <x v="11"/>
    <x v="6"/>
    <n v="10627"/>
    <s v="Total"/>
    <x v="1"/>
  </r>
  <r>
    <x v="25"/>
    <x v="12"/>
    <x v="6"/>
    <n v="6978"/>
    <s v="Detail"/>
    <x v="1"/>
  </r>
  <r>
    <x v="25"/>
    <x v="13"/>
    <x v="6"/>
    <n v="3649"/>
    <s v="Detail"/>
    <x v="1"/>
  </r>
  <r>
    <x v="25"/>
    <x v="14"/>
    <x v="6"/>
    <n v="0"/>
    <s v="Standalone"/>
    <x v="0"/>
  </r>
  <r>
    <x v="25"/>
    <x v="15"/>
    <x v="6"/>
    <n v="0"/>
    <s v="Standalone"/>
    <x v="0"/>
  </r>
  <r>
    <x v="25"/>
    <x v="16"/>
    <x v="6"/>
    <n v="11"/>
    <s v="Standalone"/>
    <x v="0"/>
  </r>
  <r>
    <x v="25"/>
    <x v="17"/>
    <x v="7"/>
    <n v="7"/>
    <s v="Standalone"/>
    <x v="0"/>
  </r>
  <r>
    <x v="25"/>
    <x v="18"/>
    <x v="7"/>
    <n v="1"/>
    <s v="Standalone"/>
    <x v="0"/>
  </r>
  <r>
    <x v="25"/>
    <x v="19"/>
    <x v="7"/>
    <n v="0"/>
    <s v="Standalone"/>
    <x v="0"/>
  </r>
  <r>
    <x v="25"/>
    <x v="20"/>
    <x v="8"/>
    <n v="3516"/>
    <s v="Total"/>
    <x v="0"/>
  </r>
  <r>
    <x v="25"/>
    <x v="21"/>
    <x v="8"/>
    <n v="3215"/>
    <s v="Detail"/>
    <x v="1"/>
  </r>
  <r>
    <x v="25"/>
    <x v="22"/>
    <x v="8"/>
    <n v="301"/>
    <s v="Detail"/>
    <x v="1"/>
  </r>
  <r>
    <x v="25"/>
    <x v="23"/>
    <x v="9"/>
    <n v="140"/>
    <s v="Total"/>
    <x v="0"/>
  </r>
  <r>
    <x v="25"/>
    <x v="24"/>
    <x v="9"/>
    <n v="127"/>
    <s v="Detail"/>
    <x v="1"/>
  </r>
  <r>
    <x v="25"/>
    <x v="25"/>
    <x v="9"/>
    <n v="13"/>
    <s v="Detail"/>
    <x v="1"/>
  </r>
  <r>
    <x v="25"/>
    <x v="26"/>
    <x v="10"/>
    <n v="9453"/>
    <s v="Total"/>
    <x v="0"/>
  </r>
  <r>
    <x v="25"/>
    <x v="27"/>
    <x v="10"/>
    <n v="8656"/>
    <s v="Detail"/>
    <x v="1"/>
  </r>
  <r>
    <x v="25"/>
    <x v="28"/>
    <x v="10"/>
    <n v="797"/>
    <s v="Detail"/>
    <x v="1"/>
  </r>
  <r>
    <x v="25"/>
    <x v="29"/>
    <x v="11"/>
    <n v="145"/>
    <s v="Total"/>
    <x v="0"/>
  </r>
  <r>
    <x v="25"/>
    <x v="30"/>
    <x v="11"/>
    <n v="145"/>
    <s v="Detail"/>
    <x v="1"/>
  </r>
  <r>
    <x v="25"/>
    <x v="31"/>
    <x v="11"/>
    <n v="0"/>
    <s v="Detail"/>
    <x v="1"/>
  </r>
  <r>
    <x v="25"/>
    <x v="32"/>
    <x v="12"/>
    <n v="7151"/>
    <s v="Standalone"/>
    <x v="0"/>
  </r>
  <r>
    <x v="25"/>
    <x v="33"/>
    <x v="13"/>
    <n v="53"/>
    <s v="Total"/>
    <x v="0"/>
  </r>
  <r>
    <x v="25"/>
    <x v="34"/>
    <x v="13"/>
    <n v="7"/>
    <s v="Detail"/>
    <x v="1"/>
  </r>
  <r>
    <x v="25"/>
    <x v="35"/>
    <x v="13"/>
    <n v="8"/>
    <s v="Detail"/>
    <x v="1"/>
  </r>
  <r>
    <x v="25"/>
    <x v="36"/>
    <x v="13"/>
    <n v="9"/>
    <s v="Detail"/>
    <x v="1"/>
  </r>
  <r>
    <x v="25"/>
    <x v="37"/>
    <x v="13"/>
    <n v="1"/>
    <s v="Detail"/>
    <x v="1"/>
  </r>
  <r>
    <x v="25"/>
    <x v="38"/>
    <x v="13"/>
    <n v="28"/>
    <s v="Detail"/>
    <x v="1"/>
  </r>
  <r>
    <x v="25"/>
    <x v="39"/>
    <x v="5"/>
    <n v="3"/>
    <s v="Standalone"/>
    <x v="0"/>
  </r>
  <r>
    <x v="25"/>
    <x v="40"/>
    <x v="14"/>
    <n v="485"/>
    <s v="Total"/>
    <x v="0"/>
  </r>
  <r>
    <x v="25"/>
    <x v="41"/>
    <x v="14"/>
    <n v="389"/>
    <s v="Detail"/>
    <x v="1"/>
  </r>
  <r>
    <x v="25"/>
    <x v="42"/>
    <x v="14"/>
    <n v="96"/>
    <s v="Detail"/>
    <x v="1"/>
  </r>
  <r>
    <x v="25"/>
    <x v="43"/>
    <x v="15"/>
    <n v="8574"/>
    <s v="Total"/>
    <x v="0"/>
  </r>
  <r>
    <x v="25"/>
    <x v="44"/>
    <x v="15"/>
    <n v="3645"/>
    <s v="Detail"/>
    <x v="1"/>
  </r>
  <r>
    <x v="25"/>
    <x v="45"/>
    <x v="15"/>
    <n v="4728"/>
    <s v="Detail"/>
    <x v="1"/>
  </r>
  <r>
    <x v="25"/>
    <x v="46"/>
    <x v="15"/>
    <n v="129"/>
    <s v="Detail"/>
    <x v="1"/>
  </r>
  <r>
    <x v="25"/>
    <x v="47"/>
    <x v="15"/>
    <n v="7"/>
    <s v="Detail"/>
    <x v="1"/>
  </r>
  <r>
    <x v="25"/>
    <x v="48"/>
    <x v="15"/>
    <n v="55"/>
    <s v="Detail"/>
    <x v="1"/>
  </r>
  <r>
    <x v="25"/>
    <x v="49"/>
    <x v="15"/>
    <n v="10"/>
    <s v="Detail"/>
    <x v="1"/>
  </r>
  <r>
    <x v="25"/>
    <x v="50"/>
    <x v="16"/>
    <n v="4"/>
    <s v="Standalone"/>
    <x v="0"/>
  </r>
  <r>
    <x v="26"/>
    <x v="0"/>
    <x v="0"/>
    <n v="0"/>
    <s v="Standalone"/>
    <x v="0"/>
  </r>
  <r>
    <x v="26"/>
    <x v="1"/>
    <x v="1"/>
    <n v="48"/>
    <s v="Standalone"/>
    <x v="0"/>
  </r>
  <r>
    <x v="26"/>
    <x v="2"/>
    <x v="2"/>
    <n v="19"/>
    <s v="Standalone"/>
    <x v="0"/>
  </r>
  <r>
    <x v="26"/>
    <x v="3"/>
    <x v="3"/>
    <n v="4"/>
    <s v="Standalone"/>
    <x v="0"/>
  </r>
  <r>
    <x v="26"/>
    <x v="4"/>
    <x v="4"/>
    <n v="1"/>
    <s v="Standalone"/>
    <x v="0"/>
  </r>
  <r>
    <x v="26"/>
    <x v="5"/>
    <x v="4"/>
    <n v="2"/>
    <s v="Standalone"/>
    <x v="0"/>
  </r>
  <r>
    <x v="26"/>
    <x v="6"/>
    <x v="5"/>
    <n v="1016"/>
    <s v="Standalone"/>
    <x v="0"/>
  </r>
  <r>
    <x v="26"/>
    <x v="7"/>
    <x v="6"/>
    <n v="698"/>
    <s v="Total"/>
    <x v="0"/>
  </r>
  <r>
    <x v="26"/>
    <x v="8"/>
    <x v="6"/>
    <n v="136"/>
    <s v="Detail"/>
    <x v="1"/>
  </r>
  <r>
    <x v="26"/>
    <x v="9"/>
    <x v="6"/>
    <n v="0"/>
    <s v="Detail"/>
    <x v="1"/>
  </r>
  <r>
    <x v="26"/>
    <x v="10"/>
    <x v="6"/>
    <n v="0"/>
    <s v="Detail"/>
    <x v="1"/>
  </r>
  <r>
    <x v="26"/>
    <x v="11"/>
    <x v="6"/>
    <n v="82"/>
    <s v="Total"/>
    <x v="1"/>
  </r>
  <r>
    <x v="26"/>
    <x v="12"/>
    <x v="6"/>
    <n v="79"/>
    <s v="Detail"/>
    <x v="1"/>
  </r>
  <r>
    <x v="26"/>
    <x v="13"/>
    <x v="6"/>
    <n v="3"/>
    <s v="Detail"/>
    <x v="1"/>
  </r>
  <r>
    <x v="26"/>
    <x v="14"/>
    <x v="6"/>
    <n v="0"/>
    <s v="Standalone"/>
    <x v="0"/>
  </r>
  <r>
    <x v="26"/>
    <x v="15"/>
    <x v="6"/>
    <n v="0"/>
    <s v="Standalone"/>
    <x v="0"/>
  </r>
  <r>
    <x v="26"/>
    <x v="16"/>
    <x v="6"/>
    <n v="480"/>
    <s v="Standalone"/>
    <x v="0"/>
  </r>
  <r>
    <x v="26"/>
    <x v="17"/>
    <x v="7"/>
    <n v="4"/>
    <s v="Standalone"/>
    <x v="0"/>
  </r>
  <r>
    <x v="26"/>
    <x v="18"/>
    <x v="7"/>
    <n v="0"/>
    <s v="Standalone"/>
    <x v="0"/>
  </r>
  <r>
    <x v="26"/>
    <x v="19"/>
    <x v="7"/>
    <n v="0"/>
    <s v="Standalone"/>
    <x v="0"/>
  </r>
  <r>
    <x v="26"/>
    <x v="20"/>
    <x v="8"/>
    <n v="421"/>
    <s v="Total"/>
    <x v="0"/>
  </r>
  <r>
    <x v="26"/>
    <x v="21"/>
    <x v="8"/>
    <n v="421"/>
    <s v="Detail"/>
    <x v="1"/>
  </r>
  <r>
    <x v="26"/>
    <x v="22"/>
    <x v="8"/>
    <n v="0"/>
    <s v="Detail"/>
    <x v="1"/>
  </r>
  <r>
    <x v="26"/>
    <x v="23"/>
    <x v="9"/>
    <n v="20"/>
    <s v="Total"/>
    <x v="0"/>
  </r>
  <r>
    <x v="26"/>
    <x v="24"/>
    <x v="9"/>
    <n v="18"/>
    <s v="Detail"/>
    <x v="1"/>
  </r>
  <r>
    <x v="26"/>
    <x v="25"/>
    <x v="9"/>
    <n v="2"/>
    <s v="Detail"/>
    <x v="1"/>
  </r>
  <r>
    <x v="26"/>
    <x v="26"/>
    <x v="10"/>
    <n v="624"/>
    <s v="Total"/>
    <x v="0"/>
  </r>
  <r>
    <x v="26"/>
    <x v="27"/>
    <x v="10"/>
    <n v="590"/>
    <s v="Detail"/>
    <x v="1"/>
  </r>
  <r>
    <x v="26"/>
    <x v="28"/>
    <x v="10"/>
    <n v="34"/>
    <s v="Detail"/>
    <x v="1"/>
  </r>
  <r>
    <x v="26"/>
    <x v="29"/>
    <x v="11"/>
    <n v="26"/>
    <s v="Total"/>
    <x v="0"/>
  </r>
  <r>
    <x v="26"/>
    <x v="30"/>
    <x v="11"/>
    <n v="26"/>
    <s v="Detail"/>
    <x v="1"/>
  </r>
  <r>
    <x v="26"/>
    <x v="31"/>
    <x v="11"/>
    <n v="0"/>
    <s v="Detail"/>
    <x v="1"/>
  </r>
  <r>
    <x v="26"/>
    <x v="32"/>
    <x v="12"/>
    <n v="14"/>
    <s v="Standalone"/>
    <x v="0"/>
  </r>
  <r>
    <x v="26"/>
    <x v="33"/>
    <x v="13"/>
    <n v="26"/>
    <s v="Total"/>
    <x v="0"/>
  </r>
  <r>
    <x v="26"/>
    <x v="34"/>
    <x v="13"/>
    <n v="6"/>
    <s v="Detail"/>
    <x v="1"/>
  </r>
  <r>
    <x v="26"/>
    <x v="35"/>
    <x v="13"/>
    <n v="6"/>
    <s v="Detail"/>
    <x v="1"/>
  </r>
  <r>
    <x v="26"/>
    <x v="36"/>
    <x v="13"/>
    <n v="0"/>
    <s v="Detail"/>
    <x v="1"/>
  </r>
  <r>
    <x v="26"/>
    <x v="37"/>
    <x v="13"/>
    <n v="0"/>
    <s v="Detail"/>
    <x v="1"/>
  </r>
  <r>
    <x v="26"/>
    <x v="38"/>
    <x v="13"/>
    <n v="14"/>
    <s v="Detail"/>
    <x v="1"/>
  </r>
  <r>
    <x v="26"/>
    <x v="39"/>
    <x v="5"/>
    <n v="0"/>
    <s v="Standalone"/>
    <x v="0"/>
  </r>
  <r>
    <x v="26"/>
    <x v="40"/>
    <x v="14"/>
    <n v="77"/>
    <s v="Total"/>
    <x v="0"/>
  </r>
  <r>
    <x v="26"/>
    <x v="41"/>
    <x v="14"/>
    <n v="51"/>
    <s v="Detail"/>
    <x v="1"/>
  </r>
  <r>
    <x v="26"/>
    <x v="42"/>
    <x v="14"/>
    <n v="26"/>
    <s v="Detail"/>
    <x v="1"/>
  </r>
  <r>
    <x v="26"/>
    <x v="43"/>
    <x v="15"/>
    <n v="808"/>
    <s v="Total"/>
    <x v="0"/>
  </r>
  <r>
    <x v="26"/>
    <x v="44"/>
    <x v="15"/>
    <n v="635"/>
    <s v="Detail"/>
    <x v="1"/>
  </r>
  <r>
    <x v="26"/>
    <x v="45"/>
    <x v="15"/>
    <n v="121"/>
    <s v="Detail"/>
    <x v="1"/>
  </r>
  <r>
    <x v="26"/>
    <x v="46"/>
    <x v="15"/>
    <n v="27"/>
    <s v="Detail"/>
    <x v="1"/>
  </r>
  <r>
    <x v="26"/>
    <x v="47"/>
    <x v="15"/>
    <n v="9"/>
    <s v="Detail"/>
    <x v="1"/>
  </r>
  <r>
    <x v="26"/>
    <x v="48"/>
    <x v="15"/>
    <n v="13"/>
    <s v="Detail"/>
    <x v="1"/>
  </r>
  <r>
    <x v="26"/>
    <x v="49"/>
    <x v="15"/>
    <n v="3"/>
    <s v="Detail"/>
    <x v="1"/>
  </r>
  <r>
    <x v="26"/>
    <x v="50"/>
    <x v="16"/>
    <n v="0"/>
    <s v="Standalone"/>
    <x v="0"/>
  </r>
  <r>
    <x v="27"/>
    <x v="0"/>
    <x v="0"/>
    <n v="7"/>
    <s v="Standalone"/>
    <x v="0"/>
  </r>
  <r>
    <x v="27"/>
    <x v="1"/>
    <x v="1"/>
    <n v="350"/>
    <s v="Standalone"/>
    <x v="0"/>
  </r>
  <r>
    <x v="27"/>
    <x v="2"/>
    <x v="2"/>
    <n v="419"/>
    <s v="Standalone"/>
    <x v="0"/>
  </r>
  <r>
    <x v="27"/>
    <x v="3"/>
    <x v="3"/>
    <n v="16"/>
    <s v="Standalone"/>
    <x v="0"/>
  </r>
  <r>
    <x v="27"/>
    <x v="4"/>
    <x v="4"/>
    <n v="31"/>
    <s v="Standalone"/>
    <x v="0"/>
  </r>
  <r>
    <x v="27"/>
    <x v="5"/>
    <x v="4"/>
    <n v="6"/>
    <s v="Standalone"/>
    <x v="0"/>
  </r>
  <r>
    <x v="27"/>
    <x v="6"/>
    <x v="5"/>
    <n v="19698"/>
    <s v="Standalone"/>
    <x v="0"/>
  </r>
  <r>
    <x v="27"/>
    <x v="7"/>
    <x v="6"/>
    <n v="6544"/>
    <s v="Total"/>
    <x v="0"/>
  </r>
  <r>
    <x v="27"/>
    <x v="8"/>
    <x v="6"/>
    <n v="3935"/>
    <s v="Detail"/>
    <x v="1"/>
  </r>
  <r>
    <x v="27"/>
    <x v="9"/>
    <x v="6"/>
    <n v="6"/>
    <s v="Detail"/>
    <x v="1"/>
  </r>
  <r>
    <x v="27"/>
    <x v="10"/>
    <x v="6"/>
    <n v="17"/>
    <s v="Detail"/>
    <x v="1"/>
  </r>
  <r>
    <x v="27"/>
    <x v="11"/>
    <x v="6"/>
    <n v="515"/>
    <s v="Total"/>
    <x v="1"/>
  </r>
  <r>
    <x v="27"/>
    <x v="12"/>
    <x v="6"/>
    <n v="125"/>
    <s v="Detail"/>
    <x v="1"/>
  </r>
  <r>
    <x v="27"/>
    <x v="13"/>
    <x v="6"/>
    <n v="390"/>
    <s v="Detail"/>
    <x v="1"/>
  </r>
  <r>
    <x v="27"/>
    <x v="14"/>
    <x v="6"/>
    <n v="16"/>
    <s v="Standalone"/>
    <x v="0"/>
  </r>
  <r>
    <x v="27"/>
    <x v="15"/>
    <x v="6"/>
    <n v="1"/>
    <s v="Standalone"/>
    <x v="0"/>
  </r>
  <r>
    <x v="27"/>
    <x v="16"/>
    <x v="6"/>
    <n v="2054"/>
    <s v="Standalone"/>
    <x v="0"/>
  </r>
  <r>
    <x v="27"/>
    <x v="17"/>
    <x v="7"/>
    <n v="29"/>
    <s v="Standalone"/>
    <x v="0"/>
  </r>
  <r>
    <x v="27"/>
    <x v="18"/>
    <x v="7"/>
    <n v="2"/>
    <s v="Standalone"/>
    <x v="0"/>
  </r>
  <r>
    <x v="27"/>
    <x v="19"/>
    <x v="7"/>
    <n v="0"/>
    <s v="Standalone"/>
    <x v="0"/>
  </r>
  <r>
    <x v="27"/>
    <x v="20"/>
    <x v="8"/>
    <n v="1110"/>
    <s v="Total"/>
    <x v="0"/>
  </r>
  <r>
    <x v="27"/>
    <x v="21"/>
    <x v="8"/>
    <n v="1110"/>
    <s v="Detail"/>
    <x v="1"/>
  </r>
  <r>
    <x v="27"/>
    <x v="22"/>
    <x v="8"/>
    <n v="0"/>
    <s v="Detail"/>
    <x v="1"/>
  </r>
  <r>
    <x v="27"/>
    <x v="23"/>
    <x v="9"/>
    <n v="825"/>
    <s v="Total"/>
    <x v="0"/>
  </r>
  <r>
    <x v="27"/>
    <x v="24"/>
    <x v="9"/>
    <n v="825"/>
    <s v="Detail"/>
    <x v="1"/>
  </r>
  <r>
    <x v="27"/>
    <x v="25"/>
    <x v="9"/>
    <n v="0"/>
    <s v="Detail"/>
    <x v="1"/>
  </r>
  <r>
    <x v="27"/>
    <x v="26"/>
    <x v="10"/>
    <n v="2479"/>
    <s v="Total"/>
    <x v="0"/>
  </r>
  <r>
    <x v="27"/>
    <x v="27"/>
    <x v="10"/>
    <n v="2479"/>
    <s v="Detail"/>
    <x v="1"/>
  </r>
  <r>
    <x v="27"/>
    <x v="28"/>
    <x v="10"/>
    <n v="0"/>
    <s v="Detail"/>
    <x v="1"/>
  </r>
  <r>
    <x v="27"/>
    <x v="29"/>
    <x v="11"/>
    <n v="412"/>
    <s v="Total"/>
    <x v="0"/>
  </r>
  <r>
    <x v="27"/>
    <x v="30"/>
    <x v="11"/>
    <n v="412"/>
    <s v="Detail"/>
    <x v="1"/>
  </r>
  <r>
    <x v="27"/>
    <x v="31"/>
    <x v="11"/>
    <n v="0"/>
    <s v="Detail"/>
    <x v="1"/>
  </r>
  <r>
    <x v="27"/>
    <x v="32"/>
    <x v="12"/>
    <n v="0"/>
    <s v="Standalone"/>
    <x v="0"/>
  </r>
  <r>
    <x v="27"/>
    <x v="33"/>
    <x v="13"/>
    <n v="32"/>
    <s v="Total"/>
    <x v="0"/>
  </r>
  <r>
    <x v="27"/>
    <x v="34"/>
    <x v="13"/>
    <n v="0"/>
    <s v="Detail"/>
    <x v="1"/>
  </r>
  <r>
    <x v="27"/>
    <x v="35"/>
    <x v="13"/>
    <n v="0"/>
    <s v="Detail"/>
    <x v="1"/>
  </r>
  <r>
    <x v="27"/>
    <x v="36"/>
    <x v="13"/>
    <n v="0"/>
    <s v="Detail"/>
    <x v="1"/>
  </r>
  <r>
    <x v="27"/>
    <x v="37"/>
    <x v="13"/>
    <n v="0"/>
    <s v="Detail"/>
    <x v="1"/>
  </r>
  <r>
    <x v="27"/>
    <x v="38"/>
    <x v="13"/>
    <n v="32"/>
    <s v="Detail"/>
    <x v="1"/>
  </r>
  <r>
    <x v="27"/>
    <x v="39"/>
    <x v="5"/>
    <n v="0"/>
    <s v="Standalone"/>
    <x v="0"/>
  </r>
  <r>
    <x v="27"/>
    <x v="40"/>
    <x v="14"/>
    <n v="9"/>
    <s v="Total"/>
    <x v="0"/>
  </r>
  <r>
    <x v="27"/>
    <x v="41"/>
    <x v="14"/>
    <n v="6"/>
    <s v="Detail"/>
    <x v="1"/>
  </r>
  <r>
    <x v="27"/>
    <x v="42"/>
    <x v="14"/>
    <n v="3"/>
    <s v="Detail"/>
    <x v="1"/>
  </r>
  <r>
    <x v="27"/>
    <x v="43"/>
    <x v="15"/>
    <n v="2721"/>
    <s v="Total"/>
    <x v="0"/>
  </r>
  <r>
    <x v="27"/>
    <x v="44"/>
    <x v="15"/>
    <n v="1798"/>
    <s v="Detail"/>
    <x v="1"/>
  </r>
  <r>
    <x v="27"/>
    <x v="45"/>
    <x v="15"/>
    <n v="644"/>
    <s v="Detail"/>
    <x v="1"/>
  </r>
  <r>
    <x v="27"/>
    <x v="46"/>
    <x v="15"/>
    <n v="244"/>
    <s v="Detail"/>
    <x v="1"/>
  </r>
  <r>
    <x v="27"/>
    <x v="47"/>
    <x v="15"/>
    <n v="29"/>
    <s v="Detail"/>
    <x v="1"/>
  </r>
  <r>
    <x v="27"/>
    <x v="48"/>
    <x v="15"/>
    <n v="6"/>
    <s v="Detail"/>
    <x v="1"/>
  </r>
  <r>
    <x v="27"/>
    <x v="49"/>
    <x v="15"/>
    <n v="0"/>
    <s v="Detail"/>
    <x v="1"/>
  </r>
  <r>
    <x v="27"/>
    <x v="50"/>
    <x v="16"/>
    <n v="1"/>
    <s v="Standalone"/>
    <x v="0"/>
  </r>
  <r>
    <x v="28"/>
    <x v="0"/>
    <x v="0"/>
    <n v="0"/>
    <s v="Standalone"/>
    <x v="0"/>
  </r>
  <r>
    <x v="28"/>
    <x v="1"/>
    <x v="1"/>
    <n v="0"/>
    <s v="Standalone"/>
    <x v="0"/>
  </r>
  <r>
    <x v="28"/>
    <x v="2"/>
    <x v="2"/>
    <n v="2"/>
    <s v="Standalone"/>
    <x v="0"/>
  </r>
  <r>
    <x v="28"/>
    <x v="3"/>
    <x v="3"/>
    <n v="0"/>
    <s v="Standalone"/>
    <x v="0"/>
  </r>
  <r>
    <x v="28"/>
    <x v="4"/>
    <x v="4"/>
    <n v="0"/>
    <s v="Standalone"/>
    <x v="0"/>
  </r>
  <r>
    <x v="28"/>
    <x v="5"/>
    <x v="4"/>
    <n v="0"/>
    <s v="Standalone"/>
    <x v="0"/>
  </r>
  <r>
    <x v="28"/>
    <x v="6"/>
    <x v="5"/>
    <n v="6"/>
    <s v="Standalone"/>
    <x v="0"/>
  </r>
  <r>
    <x v="28"/>
    <x v="7"/>
    <x v="6"/>
    <n v="16"/>
    <s v="Total"/>
    <x v="0"/>
  </r>
  <r>
    <x v="28"/>
    <x v="8"/>
    <x v="6"/>
    <n v="16"/>
    <s v="Detail"/>
    <x v="1"/>
  </r>
  <r>
    <x v="28"/>
    <x v="9"/>
    <x v="6"/>
    <n v="0"/>
    <s v="Detail"/>
    <x v="1"/>
  </r>
  <r>
    <x v="28"/>
    <x v="10"/>
    <x v="6"/>
    <n v="0"/>
    <s v="Detail"/>
    <x v="1"/>
  </r>
  <r>
    <x v="28"/>
    <x v="11"/>
    <x v="6"/>
    <n v="0"/>
    <s v="Total"/>
    <x v="1"/>
  </r>
  <r>
    <x v="28"/>
    <x v="12"/>
    <x v="6"/>
    <n v="0"/>
    <s v="Detail"/>
    <x v="1"/>
  </r>
  <r>
    <x v="28"/>
    <x v="13"/>
    <x v="6"/>
    <n v="0"/>
    <s v="Detail"/>
    <x v="1"/>
  </r>
  <r>
    <x v="28"/>
    <x v="14"/>
    <x v="6"/>
    <n v="0"/>
    <s v="Standalone"/>
    <x v="0"/>
  </r>
  <r>
    <x v="28"/>
    <x v="15"/>
    <x v="6"/>
    <n v="0"/>
    <s v="Standalone"/>
    <x v="0"/>
  </r>
  <r>
    <x v="28"/>
    <x v="16"/>
    <x v="6"/>
    <n v="0"/>
    <s v="Standalone"/>
    <x v="0"/>
  </r>
  <r>
    <x v="28"/>
    <x v="17"/>
    <x v="7"/>
    <n v="0"/>
    <s v="Standalone"/>
    <x v="0"/>
  </r>
  <r>
    <x v="28"/>
    <x v="18"/>
    <x v="7"/>
    <n v="0"/>
    <s v="Standalone"/>
    <x v="0"/>
  </r>
  <r>
    <x v="28"/>
    <x v="19"/>
    <x v="7"/>
    <n v="0"/>
    <s v="Standalone"/>
    <x v="0"/>
  </r>
  <r>
    <x v="28"/>
    <x v="20"/>
    <x v="8"/>
    <n v="14"/>
    <s v="Total"/>
    <x v="0"/>
  </r>
  <r>
    <x v="28"/>
    <x v="21"/>
    <x v="8"/>
    <n v="14"/>
    <s v="Detail"/>
    <x v="1"/>
  </r>
  <r>
    <x v="28"/>
    <x v="22"/>
    <x v="8"/>
    <n v="0"/>
    <s v="Detail"/>
    <x v="1"/>
  </r>
  <r>
    <x v="28"/>
    <x v="23"/>
    <x v="9"/>
    <n v="0"/>
    <s v="Total"/>
    <x v="0"/>
  </r>
  <r>
    <x v="28"/>
    <x v="24"/>
    <x v="9"/>
    <n v="0"/>
    <s v="Detail"/>
    <x v="1"/>
  </r>
  <r>
    <x v="28"/>
    <x v="25"/>
    <x v="9"/>
    <n v="0"/>
    <s v="Detail"/>
    <x v="1"/>
  </r>
  <r>
    <x v="28"/>
    <x v="26"/>
    <x v="10"/>
    <n v="31"/>
    <s v="Total"/>
    <x v="0"/>
  </r>
  <r>
    <x v="28"/>
    <x v="27"/>
    <x v="10"/>
    <n v="31"/>
    <s v="Detail"/>
    <x v="1"/>
  </r>
  <r>
    <x v="28"/>
    <x v="28"/>
    <x v="10"/>
    <n v="0"/>
    <s v="Detail"/>
    <x v="1"/>
  </r>
  <r>
    <x v="28"/>
    <x v="29"/>
    <x v="11"/>
    <n v="12"/>
    <s v="Total"/>
    <x v="0"/>
  </r>
  <r>
    <x v="28"/>
    <x v="30"/>
    <x v="11"/>
    <n v="12"/>
    <s v="Detail"/>
    <x v="1"/>
  </r>
  <r>
    <x v="28"/>
    <x v="31"/>
    <x v="11"/>
    <n v="0"/>
    <s v="Detail"/>
    <x v="1"/>
  </r>
  <r>
    <x v="28"/>
    <x v="32"/>
    <x v="12"/>
    <n v="0"/>
    <s v="Standalone"/>
    <x v="0"/>
  </r>
  <r>
    <x v="28"/>
    <x v="33"/>
    <x v="13"/>
    <n v="0"/>
    <s v="Total"/>
    <x v="0"/>
  </r>
  <r>
    <x v="28"/>
    <x v="34"/>
    <x v="13"/>
    <n v="0"/>
    <s v="Detail"/>
    <x v="1"/>
  </r>
  <r>
    <x v="28"/>
    <x v="35"/>
    <x v="13"/>
    <n v="0"/>
    <s v="Detail"/>
    <x v="1"/>
  </r>
  <r>
    <x v="28"/>
    <x v="36"/>
    <x v="13"/>
    <n v="0"/>
    <s v="Detail"/>
    <x v="1"/>
  </r>
  <r>
    <x v="28"/>
    <x v="37"/>
    <x v="13"/>
    <n v="0"/>
    <s v="Detail"/>
    <x v="1"/>
  </r>
  <r>
    <x v="28"/>
    <x v="38"/>
    <x v="13"/>
    <n v="0"/>
    <s v="Detail"/>
    <x v="1"/>
  </r>
  <r>
    <x v="28"/>
    <x v="39"/>
    <x v="5"/>
    <n v="0"/>
    <s v="Standalone"/>
    <x v="0"/>
  </r>
  <r>
    <x v="28"/>
    <x v="40"/>
    <x v="14"/>
    <n v="29"/>
    <s v="Total"/>
    <x v="0"/>
  </r>
  <r>
    <x v="28"/>
    <x v="41"/>
    <x v="14"/>
    <n v="27"/>
    <s v="Detail"/>
    <x v="1"/>
  </r>
  <r>
    <x v="28"/>
    <x v="42"/>
    <x v="14"/>
    <n v="2"/>
    <s v="Detail"/>
    <x v="1"/>
  </r>
  <r>
    <x v="28"/>
    <x v="43"/>
    <x v="15"/>
    <n v="95"/>
    <s v="Total"/>
    <x v="0"/>
  </r>
  <r>
    <x v="28"/>
    <x v="44"/>
    <x v="15"/>
    <n v="75"/>
    <s v="Detail"/>
    <x v="1"/>
  </r>
  <r>
    <x v="28"/>
    <x v="45"/>
    <x v="15"/>
    <n v="16"/>
    <s v="Detail"/>
    <x v="1"/>
  </r>
  <r>
    <x v="28"/>
    <x v="46"/>
    <x v="15"/>
    <n v="4"/>
    <s v="Detail"/>
    <x v="1"/>
  </r>
  <r>
    <x v="28"/>
    <x v="47"/>
    <x v="15"/>
    <n v="0"/>
    <s v="Detail"/>
    <x v="1"/>
  </r>
  <r>
    <x v="28"/>
    <x v="48"/>
    <x v="15"/>
    <n v="0"/>
    <s v="Detail"/>
    <x v="1"/>
  </r>
  <r>
    <x v="28"/>
    <x v="49"/>
    <x v="15"/>
    <n v="0"/>
    <s v="Detail"/>
    <x v="1"/>
  </r>
  <r>
    <x v="28"/>
    <x v="50"/>
    <x v="16"/>
    <n v="0"/>
    <s v="Standalone"/>
    <x v="0"/>
  </r>
  <r>
    <x v="29"/>
    <x v="0"/>
    <x v="0"/>
    <n v="0"/>
    <s v="Standalone"/>
    <x v="0"/>
  </r>
  <r>
    <x v="29"/>
    <x v="1"/>
    <x v="1"/>
    <n v="4"/>
    <s v="Standalone"/>
    <x v="0"/>
  </r>
  <r>
    <x v="29"/>
    <x v="2"/>
    <x v="2"/>
    <n v="5"/>
    <s v="Standalone"/>
    <x v="0"/>
  </r>
  <r>
    <x v="29"/>
    <x v="3"/>
    <x v="3"/>
    <n v="0"/>
    <s v="Standalone"/>
    <x v="0"/>
  </r>
  <r>
    <x v="29"/>
    <x v="4"/>
    <x v="4"/>
    <n v="0"/>
    <s v="Standalone"/>
    <x v="0"/>
  </r>
  <r>
    <x v="29"/>
    <x v="5"/>
    <x v="4"/>
    <n v="0"/>
    <s v="Standalone"/>
    <x v="0"/>
  </r>
  <r>
    <x v="29"/>
    <x v="6"/>
    <x v="5"/>
    <n v="76"/>
    <s v="Standalone"/>
    <x v="0"/>
  </r>
  <r>
    <x v="29"/>
    <x v="7"/>
    <x v="6"/>
    <n v="131"/>
    <s v="Total"/>
    <x v="0"/>
  </r>
  <r>
    <x v="29"/>
    <x v="8"/>
    <x v="6"/>
    <n v="119"/>
    <s v="Detail"/>
    <x v="1"/>
  </r>
  <r>
    <x v="29"/>
    <x v="9"/>
    <x v="6"/>
    <n v="0"/>
    <s v="Detail"/>
    <x v="1"/>
  </r>
  <r>
    <x v="29"/>
    <x v="10"/>
    <x v="6"/>
    <n v="0"/>
    <s v="Detail"/>
    <x v="1"/>
  </r>
  <r>
    <x v="29"/>
    <x v="11"/>
    <x v="6"/>
    <n v="9"/>
    <s v="Total"/>
    <x v="1"/>
  </r>
  <r>
    <x v="29"/>
    <x v="12"/>
    <x v="6"/>
    <n v="0"/>
    <s v="Detail"/>
    <x v="1"/>
  </r>
  <r>
    <x v="29"/>
    <x v="13"/>
    <x v="6"/>
    <n v="9"/>
    <s v="Detail"/>
    <x v="1"/>
  </r>
  <r>
    <x v="29"/>
    <x v="14"/>
    <x v="6"/>
    <n v="0"/>
    <s v="Standalone"/>
    <x v="0"/>
  </r>
  <r>
    <x v="29"/>
    <x v="15"/>
    <x v="6"/>
    <n v="0"/>
    <s v="Standalone"/>
    <x v="0"/>
  </r>
  <r>
    <x v="29"/>
    <x v="16"/>
    <x v="6"/>
    <n v="3"/>
    <s v="Standalone"/>
    <x v="0"/>
  </r>
  <r>
    <x v="29"/>
    <x v="17"/>
    <x v="7"/>
    <n v="2"/>
    <s v="Standalone"/>
    <x v="0"/>
  </r>
  <r>
    <x v="29"/>
    <x v="18"/>
    <x v="7"/>
    <n v="0"/>
    <s v="Standalone"/>
    <x v="0"/>
  </r>
  <r>
    <x v="29"/>
    <x v="19"/>
    <x v="7"/>
    <n v="0"/>
    <s v="Standalone"/>
    <x v="0"/>
  </r>
  <r>
    <x v="29"/>
    <x v="20"/>
    <x v="8"/>
    <n v="102"/>
    <s v="Total"/>
    <x v="0"/>
  </r>
  <r>
    <x v="29"/>
    <x v="21"/>
    <x v="8"/>
    <n v="32"/>
    <s v="Detail"/>
    <x v="1"/>
  </r>
  <r>
    <x v="29"/>
    <x v="22"/>
    <x v="8"/>
    <n v="70"/>
    <s v="Detail"/>
    <x v="1"/>
  </r>
  <r>
    <x v="29"/>
    <x v="23"/>
    <x v="9"/>
    <n v="1"/>
    <s v="Total"/>
    <x v="0"/>
  </r>
  <r>
    <x v="29"/>
    <x v="24"/>
    <x v="9"/>
    <n v="0"/>
    <s v="Detail"/>
    <x v="1"/>
  </r>
  <r>
    <x v="29"/>
    <x v="25"/>
    <x v="9"/>
    <n v="1"/>
    <s v="Detail"/>
    <x v="1"/>
  </r>
  <r>
    <x v="29"/>
    <x v="26"/>
    <x v="10"/>
    <n v="40"/>
    <s v="Total"/>
    <x v="0"/>
  </r>
  <r>
    <x v="29"/>
    <x v="27"/>
    <x v="10"/>
    <n v="27"/>
    <s v="Detail"/>
    <x v="1"/>
  </r>
  <r>
    <x v="29"/>
    <x v="28"/>
    <x v="10"/>
    <n v="13"/>
    <s v="Detail"/>
    <x v="1"/>
  </r>
  <r>
    <x v="29"/>
    <x v="29"/>
    <x v="11"/>
    <n v="5"/>
    <s v="Total"/>
    <x v="0"/>
  </r>
  <r>
    <x v="29"/>
    <x v="30"/>
    <x v="11"/>
    <n v="5"/>
    <s v="Detail"/>
    <x v="1"/>
  </r>
  <r>
    <x v="29"/>
    <x v="31"/>
    <x v="11"/>
    <n v="0"/>
    <s v="Detail"/>
    <x v="1"/>
  </r>
  <r>
    <x v="29"/>
    <x v="32"/>
    <x v="12"/>
    <n v="0"/>
    <s v="Standalone"/>
    <x v="0"/>
  </r>
  <r>
    <x v="29"/>
    <x v="33"/>
    <x v="13"/>
    <n v="0"/>
    <s v="Total"/>
    <x v="0"/>
  </r>
  <r>
    <x v="29"/>
    <x v="34"/>
    <x v="13"/>
    <n v="0"/>
    <s v="Detail"/>
    <x v="1"/>
  </r>
  <r>
    <x v="29"/>
    <x v="35"/>
    <x v="13"/>
    <n v="0"/>
    <s v="Detail"/>
    <x v="1"/>
  </r>
  <r>
    <x v="29"/>
    <x v="36"/>
    <x v="13"/>
    <n v="0"/>
    <s v="Detail"/>
    <x v="1"/>
  </r>
  <r>
    <x v="29"/>
    <x v="37"/>
    <x v="13"/>
    <n v="0"/>
    <s v="Detail"/>
    <x v="1"/>
  </r>
  <r>
    <x v="29"/>
    <x v="38"/>
    <x v="13"/>
    <n v="0"/>
    <s v="Detail"/>
    <x v="1"/>
  </r>
  <r>
    <x v="29"/>
    <x v="39"/>
    <x v="5"/>
    <n v="0"/>
    <s v="Standalone"/>
    <x v="0"/>
  </r>
  <r>
    <x v="29"/>
    <x v="40"/>
    <x v="14"/>
    <n v="5"/>
    <s v="Total"/>
    <x v="0"/>
  </r>
  <r>
    <x v="29"/>
    <x v="41"/>
    <x v="14"/>
    <n v="5"/>
    <s v="Detail"/>
    <x v="1"/>
  </r>
  <r>
    <x v="29"/>
    <x v="42"/>
    <x v="14"/>
    <n v="0"/>
    <s v="Detail"/>
    <x v="1"/>
  </r>
  <r>
    <x v="29"/>
    <x v="43"/>
    <x v="15"/>
    <n v="0"/>
    <s v="Total"/>
    <x v="0"/>
  </r>
  <r>
    <x v="29"/>
    <x v="44"/>
    <x v="15"/>
    <n v="0"/>
    <s v="Detail"/>
    <x v="1"/>
  </r>
  <r>
    <x v="29"/>
    <x v="45"/>
    <x v="15"/>
    <n v="0"/>
    <s v="Detail"/>
    <x v="1"/>
  </r>
  <r>
    <x v="29"/>
    <x v="46"/>
    <x v="15"/>
    <n v="0"/>
    <s v="Detail"/>
    <x v="1"/>
  </r>
  <r>
    <x v="29"/>
    <x v="47"/>
    <x v="15"/>
    <n v="0"/>
    <s v="Detail"/>
    <x v="1"/>
  </r>
  <r>
    <x v="29"/>
    <x v="48"/>
    <x v="15"/>
    <n v="0"/>
    <s v="Detail"/>
    <x v="1"/>
  </r>
  <r>
    <x v="29"/>
    <x v="49"/>
    <x v="15"/>
    <n v="0"/>
    <s v="Detail"/>
    <x v="1"/>
  </r>
  <r>
    <x v="29"/>
    <x v="50"/>
    <x v="16"/>
    <n v="0"/>
    <s v="Standalone"/>
    <x v="0"/>
  </r>
  <r>
    <x v="30"/>
    <x v="0"/>
    <x v="0"/>
    <n v="0"/>
    <s v="Standalone"/>
    <x v="0"/>
  </r>
  <r>
    <x v="30"/>
    <x v="1"/>
    <x v="1"/>
    <n v="0"/>
    <s v="Standalone"/>
    <x v="0"/>
  </r>
  <r>
    <x v="30"/>
    <x v="2"/>
    <x v="2"/>
    <n v="1"/>
    <s v="Standalone"/>
    <x v="0"/>
  </r>
  <r>
    <x v="30"/>
    <x v="3"/>
    <x v="3"/>
    <n v="0"/>
    <s v="Standalone"/>
    <x v="0"/>
  </r>
  <r>
    <x v="30"/>
    <x v="4"/>
    <x v="4"/>
    <n v="0"/>
    <s v="Standalone"/>
    <x v="0"/>
  </r>
  <r>
    <x v="30"/>
    <x v="5"/>
    <x v="4"/>
    <n v="0"/>
    <s v="Standalone"/>
    <x v="0"/>
  </r>
  <r>
    <x v="30"/>
    <x v="6"/>
    <x v="5"/>
    <n v="2"/>
    <s v="Standalone"/>
    <x v="0"/>
  </r>
  <r>
    <x v="30"/>
    <x v="7"/>
    <x v="6"/>
    <n v="35"/>
    <s v="Total"/>
    <x v="0"/>
  </r>
  <r>
    <x v="30"/>
    <x v="8"/>
    <x v="6"/>
    <n v="34"/>
    <s v="Detail"/>
    <x v="1"/>
  </r>
  <r>
    <x v="30"/>
    <x v="9"/>
    <x v="6"/>
    <n v="0"/>
    <s v="Detail"/>
    <x v="1"/>
  </r>
  <r>
    <x v="30"/>
    <x v="10"/>
    <x v="6"/>
    <n v="0"/>
    <s v="Detail"/>
    <x v="1"/>
  </r>
  <r>
    <x v="30"/>
    <x v="11"/>
    <x v="6"/>
    <n v="0"/>
    <s v="Total"/>
    <x v="1"/>
  </r>
  <r>
    <x v="30"/>
    <x v="12"/>
    <x v="6"/>
    <n v="0"/>
    <s v="Detail"/>
    <x v="1"/>
  </r>
  <r>
    <x v="30"/>
    <x v="13"/>
    <x v="6"/>
    <n v="0"/>
    <s v="Detail"/>
    <x v="1"/>
  </r>
  <r>
    <x v="30"/>
    <x v="14"/>
    <x v="6"/>
    <n v="0"/>
    <s v="Standalone"/>
    <x v="0"/>
  </r>
  <r>
    <x v="30"/>
    <x v="15"/>
    <x v="6"/>
    <n v="0"/>
    <s v="Standalone"/>
    <x v="0"/>
  </r>
  <r>
    <x v="30"/>
    <x v="16"/>
    <x v="6"/>
    <n v="1"/>
    <s v="Standalone"/>
    <x v="0"/>
  </r>
  <r>
    <x v="30"/>
    <x v="17"/>
    <x v="7"/>
    <n v="0"/>
    <s v="Standalone"/>
    <x v="0"/>
  </r>
  <r>
    <x v="30"/>
    <x v="18"/>
    <x v="7"/>
    <n v="0"/>
    <s v="Standalone"/>
    <x v="0"/>
  </r>
  <r>
    <x v="30"/>
    <x v="19"/>
    <x v="7"/>
    <n v="0"/>
    <s v="Standalone"/>
    <x v="0"/>
  </r>
  <r>
    <x v="30"/>
    <x v="20"/>
    <x v="8"/>
    <n v="6"/>
    <s v="Total"/>
    <x v="0"/>
  </r>
  <r>
    <x v="30"/>
    <x v="21"/>
    <x v="8"/>
    <n v="5"/>
    <s v="Detail"/>
    <x v="1"/>
  </r>
  <r>
    <x v="30"/>
    <x v="22"/>
    <x v="8"/>
    <n v="1"/>
    <s v="Detail"/>
    <x v="1"/>
  </r>
  <r>
    <x v="30"/>
    <x v="23"/>
    <x v="9"/>
    <n v="1"/>
    <s v="Total"/>
    <x v="0"/>
  </r>
  <r>
    <x v="30"/>
    <x v="24"/>
    <x v="9"/>
    <n v="1"/>
    <s v="Detail"/>
    <x v="1"/>
  </r>
  <r>
    <x v="30"/>
    <x v="25"/>
    <x v="9"/>
    <n v="0"/>
    <s v="Detail"/>
    <x v="1"/>
  </r>
  <r>
    <x v="30"/>
    <x v="26"/>
    <x v="10"/>
    <n v="12"/>
    <s v="Total"/>
    <x v="0"/>
  </r>
  <r>
    <x v="30"/>
    <x v="27"/>
    <x v="10"/>
    <n v="12"/>
    <s v="Detail"/>
    <x v="1"/>
  </r>
  <r>
    <x v="30"/>
    <x v="28"/>
    <x v="10"/>
    <n v="0"/>
    <s v="Detail"/>
    <x v="1"/>
  </r>
  <r>
    <x v="30"/>
    <x v="29"/>
    <x v="11"/>
    <n v="3"/>
    <s v="Total"/>
    <x v="0"/>
  </r>
  <r>
    <x v="30"/>
    <x v="30"/>
    <x v="11"/>
    <n v="3"/>
    <s v="Detail"/>
    <x v="1"/>
  </r>
  <r>
    <x v="30"/>
    <x v="31"/>
    <x v="11"/>
    <n v="0"/>
    <s v="Detail"/>
    <x v="1"/>
  </r>
  <r>
    <x v="30"/>
    <x v="32"/>
    <x v="12"/>
    <n v="0"/>
    <s v="Standalone"/>
    <x v="0"/>
  </r>
  <r>
    <x v="30"/>
    <x v="33"/>
    <x v="13"/>
    <n v="8"/>
    <s v="Total"/>
    <x v="0"/>
  </r>
  <r>
    <x v="30"/>
    <x v="34"/>
    <x v="13"/>
    <n v="0"/>
    <s v="Detail"/>
    <x v="1"/>
  </r>
  <r>
    <x v="30"/>
    <x v="35"/>
    <x v="13"/>
    <n v="0"/>
    <s v="Detail"/>
    <x v="1"/>
  </r>
  <r>
    <x v="30"/>
    <x v="36"/>
    <x v="13"/>
    <n v="8"/>
    <s v="Detail"/>
    <x v="1"/>
  </r>
  <r>
    <x v="30"/>
    <x v="37"/>
    <x v="13"/>
    <n v="0"/>
    <s v="Detail"/>
    <x v="1"/>
  </r>
  <r>
    <x v="30"/>
    <x v="38"/>
    <x v="13"/>
    <n v="0"/>
    <s v="Detail"/>
    <x v="1"/>
  </r>
  <r>
    <x v="30"/>
    <x v="39"/>
    <x v="5"/>
    <n v="0"/>
    <s v="Standalone"/>
    <x v="0"/>
  </r>
  <r>
    <x v="30"/>
    <x v="40"/>
    <x v="14"/>
    <n v="3"/>
    <s v="Total"/>
    <x v="0"/>
  </r>
  <r>
    <x v="30"/>
    <x v="41"/>
    <x v="14"/>
    <n v="3"/>
    <s v="Detail"/>
    <x v="1"/>
  </r>
  <r>
    <x v="30"/>
    <x v="42"/>
    <x v="14"/>
    <n v="0"/>
    <s v="Detail"/>
    <x v="1"/>
  </r>
  <r>
    <x v="30"/>
    <x v="43"/>
    <x v="15"/>
    <n v="53"/>
    <s v="Total"/>
    <x v="0"/>
  </r>
  <r>
    <x v="30"/>
    <x v="44"/>
    <x v="15"/>
    <n v="50"/>
    <s v="Detail"/>
    <x v="1"/>
  </r>
  <r>
    <x v="30"/>
    <x v="45"/>
    <x v="15"/>
    <n v="1"/>
    <s v="Detail"/>
    <x v="1"/>
  </r>
  <r>
    <x v="30"/>
    <x v="46"/>
    <x v="15"/>
    <n v="2"/>
    <s v="Detail"/>
    <x v="1"/>
  </r>
  <r>
    <x v="30"/>
    <x v="47"/>
    <x v="15"/>
    <n v="0"/>
    <s v="Detail"/>
    <x v="1"/>
  </r>
  <r>
    <x v="30"/>
    <x v="48"/>
    <x v="15"/>
    <n v="0"/>
    <s v="Detail"/>
    <x v="1"/>
  </r>
  <r>
    <x v="30"/>
    <x v="49"/>
    <x v="15"/>
    <n v="0"/>
    <s v="Detail"/>
    <x v="1"/>
  </r>
  <r>
    <x v="30"/>
    <x v="50"/>
    <x v="16"/>
    <n v="0"/>
    <s v="Standalone"/>
    <x v="0"/>
  </r>
  <r>
    <x v="31"/>
    <x v="0"/>
    <x v="0"/>
    <n v="3"/>
    <s v="Standalone"/>
    <x v="0"/>
  </r>
  <r>
    <x v="31"/>
    <x v="1"/>
    <x v="1"/>
    <n v="115"/>
    <s v="Standalone"/>
    <x v="0"/>
  </r>
  <r>
    <x v="31"/>
    <x v="2"/>
    <x v="2"/>
    <n v="42"/>
    <s v="Standalone"/>
    <x v="0"/>
  </r>
  <r>
    <x v="31"/>
    <x v="3"/>
    <x v="3"/>
    <n v="10"/>
    <s v="Standalone"/>
    <x v="0"/>
  </r>
  <r>
    <x v="31"/>
    <x v="4"/>
    <x v="4"/>
    <n v="6"/>
    <s v="Standalone"/>
    <x v="0"/>
  </r>
  <r>
    <x v="31"/>
    <x v="5"/>
    <x v="4"/>
    <n v="2"/>
    <s v="Standalone"/>
    <x v="0"/>
  </r>
  <r>
    <x v="31"/>
    <x v="6"/>
    <x v="5"/>
    <n v="4236"/>
    <s v="Standalone"/>
    <x v="0"/>
  </r>
  <r>
    <x v="31"/>
    <x v="7"/>
    <x v="6"/>
    <n v="3970"/>
    <s v="Total"/>
    <x v="0"/>
  </r>
  <r>
    <x v="31"/>
    <x v="8"/>
    <x v="6"/>
    <n v="3838"/>
    <s v="Detail"/>
    <x v="1"/>
  </r>
  <r>
    <x v="31"/>
    <x v="9"/>
    <x v="6"/>
    <n v="0"/>
    <s v="Detail"/>
    <x v="1"/>
  </r>
  <r>
    <x v="31"/>
    <x v="10"/>
    <x v="6"/>
    <n v="3"/>
    <s v="Detail"/>
    <x v="1"/>
  </r>
  <r>
    <x v="31"/>
    <x v="11"/>
    <x v="6"/>
    <n v="0"/>
    <s v="Total"/>
    <x v="1"/>
  </r>
  <r>
    <x v="31"/>
    <x v="12"/>
    <x v="6"/>
    <n v="0"/>
    <s v="Detail"/>
    <x v="1"/>
  </r>
  <r>
    <x v="31"/>
    <x v="13"/>
    <x v="6"/>
    <n v="0"/>
    <s v="Detail"/>
    <x v="1"/>
  </r>
  <r>
    <x v="31"/>
    <x v="14"/>
    <x v="6"/>
    <n v="0"/>
    <s v="Standalone"/>
    <x v="0"/>
  </r>
  <r>
    <x v="31"/>
    <x v="15"/>
    <x v="6"/>
    <n v="0"/>
    <s v="Standalone"/>
    <x v="0"/>
  </r>
  <r>
    <x v="31"/>
    <x v="16"/>
    <x v="6"/>
    <n v="129"/>
    <s v="Standalone"/>
    <x v="0"/>
  </r>
  <r>
    <x v="31"/>
    <x v="17"/>
    <x v="7"/>
    <n v="44"/>
    <s v="Standalone"/>
    <x v="0"/>
  </r>
  <r>
    <x v="31"/>
    <x v="18"/>
    <x v="7"/>
    <n v="0"/>
    <s v="Standalone"/>
    <x v="0"/>
  </r>
  <r>
    <x v="31"/>
    <x v="19"/>
    <x v="7"/>
    <n v="0"/>
    <s v="Standalone"/>
    <x v="0"/>
  </r>
  <r>
    <x v="31"/>
    <x v="20"/>
    <x v="8"/>
    <n v="1094"/>
    <s v="Total"/>
    <x v="0"/>
  </r>
  <r>
    <x v="31"/>
    <x v="21"/>
    <x v="8"/>
    <n v="1094"/>
    <s v="Detail"/>
    <x v="1"/>
  </r>
  <r>
    <x v="31"/>
    <x v="22"/>
    <x v="8"/>
    <n v="0"/>
    <s v="Detail"/>
    <x v="1"/>
  </r>
  <r>
    <x v="31"/>
    <x v="23"/>
    <x v="9"/>
    <n v="0"/>
    <s v="Total"/>
    <x v="0"/>
  </r>
  <r>
    <x v="31"/>
    <x v="24"/>
    <x v="9"/>
    <n v="0"/>
    <s v="Detail"/>
    <x v="1"/>
  </r>
  <r>
    <x v="31"/>
    <x v="25"/>
    <x v="9"/>
    <n v="0"/>
    <s v="Detail"/>
    <x v="1"/>
  </r>
  <r>
    <x v="31"/>
    <x v="26"/>
    <x v="10"/>
    <n v="1814"/>
    <s v="Total"/>
    <x v="0"/>
  </r>
  <r>
    <x v="31"/>
    <x v="27"/>
    <x v="10"/>
    <n v="1814"/>
    <s v="Detail"/>
    <x v="1"/>
  </r>
  <r>
    <x v="31"/>
    <x v="28"/>
    <x v="10"/>
    <n v="0"/>
    <s v="Detail"/>
    <x v="1"/>
  </r>
  <r>
    <x v="31"/>
    <x v="29"/>
    <x v="11"/>
    <n v="352"/>
    <s v="Total"/>
    <x v="0"/>
  </r>
  <r>
    <x v="31"/>
    <x v="30"/>
    <x v="11"/>
    <n v="351"/>
    <s v="Detail"/>
    <x v="1"/>
  </r>
  <r>
    <x v="31"/>
    <x v="31"/>
    <x v="11"/>
    <n v="1"/>
    <s v="Detail"/>
    <x v="1"/>
  </r>
  <r>
    <x v="31"/>
    <x v="32"/>
    <x v="12"/>
    <n v="16"/>
    <s v="Standalone"/>
    <x v="0"/>
  </r>
  <r>
    <x v="31"/>
    <x v="33"/>
    <x v="13"/>
    <n v="59"/>
    <s v="Total"/>
    <x v="0"/>
  </r>
  <r>
    <x v="31"/>
    <x v="34"/>
    <x v="13"/>
    <n v="1"/>
    <s v="Detail"/>
    <x v="1"/>
  </r>
  <r>
    <x v="31"/>
    <x v="35"/>
    <x v="13"/>
    <n v="1"/>
    <s v="Detail"/>
    <x v="1"/>
  </r>
  <r>
    <x v="31"/>
    <x v="36"/>
    <x v="13"/>
    <n v="0"/>
    <s v="Detail"/>
    <x v="1"/>
  </r>
  <r>
    <x v="31"/>
    <x v="37"/>
    <x v="13"/>
    <n v="1"/>
    <s v="Detail"/>
    <x v="1"/>
  </r>
  <r>
    <x v="31"/>
    <x v="38"/>
    <x v="13"/>
    <n v="56"/>
    <s v="Detail"/>
    <x v="1"/>
  </r>
  <r>
    <x v="31"/>
    <x v="39"/>
    <x v="5"/>
    <n v="4"/>
    <s v="Standalone"/>
    <x v="0"/>
  </r>
  <r>
    <x v="31"/>
    <x v="40"/>
    <x v="14"/>
    <n v="36"/>
    <s v="Total"/>
    <x v="0"/>
  </r>
  <r>
    <x v="31"/>
    <x v="41"/>
    <x v="14"/>
    <n v="28"/>
    <s v="Detail"/>
    <x v="1"/>
  </r>
  <r>
    <x v="31"/>
    <x v="42"/>
    <x v="14"/>
    <n v="8"/>
    <s v="Detail"/>
    <x v="1"/>
  </r>
  <r>
    <x v="31"/>
    <x v="43"/>
    <x v="15"/>
    <n v="1636"/>
    <s v="Total"/>
    <x v="0"/>
  </r>
  <r>
    <x v="31"/>
    <x v="44"/>
    <x v="15"/>
    <n v="1052"/>
    <s v="Detail"/>
    <x v="1"/>
  </r>
  <r>
    <x v="31"/>
    <x v="45"/>
    <x v="15"/>
    <n v="536"/>
    <s v="Detail"/>
    <x v="1"/>
  </r>
  <r>
    <x v="31"/>
    <x v="46"/>
    <x v="15"/>
    <n v="32"/>
    <s v="Detail"/>
    <x v="1"/>
  </r>
  <r>
    <x v="31"/>
    <x v="47"/>
    <x v="15"/>
    <n v="4"/>
    <s v="Detail"/>
    <x v="1"/>
  </r>
  <r>
    <x v="31"/>
    <x v="48"/>
    <x v="15"/>
    <n v="2"/>
    <s v="Detail"/>
    <x v="1"/>
  </r>
  <r>
    <x v="31"/>
    <x v="49"/>
    <x v="15"/>
    <n v="10"/>
    <s v="Detail"/>
    <x v="1"/>
  </r>
  <r>
    <x v="31"/>
    <x v="50"/>
    <x v="16"/>
    <n v="0"/>
    <s v="Standalone"/>
    <x v="0"/>
  </r>
  <r>
    <x v="32"/>
    <x v="0"/>
    <x v="0"/>
    <n v="1"/>
    <s v="Standalone"/>
    <x v="0"/>
  </r>
  <r>
    <x v="32"/>
    <x v="1"/>
    <x v="1"/>
    <n v="9"/>
    <s v="Standalone"/>
    <x v="0"/>
  </r>
  <r>
    <x v="32"/>
    <x v="2"/>
    <x v="2"/>
    <n v="31"/>
    <s v="Standalone"/>
    <x v="0"/>
  </r>
  <r>
    <x v="32"/>
    <x v="3"/>
    <x v="3"/>
    <n v="4"/>
    <s v="Standalone"/>
    <x v="0"/>
  </r>
  <r>
    <x v="32"/>
    <x v="4"/>
    <x v="4"/>
    <n v="0"/>
    <s v="Standalone"/>
    <x v="0"/>
  </r>
  <r>
    <x v="32"/>
    <x v="5"/>
    <x v="4"/>
    <n v="0"/>
    <s v="Standalone"/>
    <x v="0"/>
  </r>
  <r>
    <x v="32"/>
    <x v="6"/>
    <x v="5"/>
    <n v="524"/>
    <s v="Standalone"/>
    <x v="0"/>
  </r>
  <r>
    <x v="32"/>
    <x v="7"/>
    <x v="6"/>
    <n v="895"/>
    <s v="Total"/>
    <x v="0"/>
  </r>
  <r>
    <x v="32"/>
    <x v="8"/>
    <x v="6"/>
    <n v="351"/>
    <s v="Detail"/>
    <x v="1"/>
  </r>
  <r>
    <x v="32"/>
    <x v="9"/>
    <x v="6"/>
    <n v="2"/>
    <s v="Detail"/>
    <x v="1"/>
  </r>
  <r>
    <x v="32"/>
    <x v="10"/>
    <x v="6"/>
    <n v="0"/>
    <s v="Detail"/>
    <x v="1"/>
  </r>
  <r>
    <x v="32"/>
    <x v="11"/>
    <x v="6"/>
    <n v="426"/>
    <s v="Total"/>
    <x v="1"/>
  </r>
  <r>
    <x v="32"/>
    <x v="12"/>
    <x v="6"/>
    <n v="416"/>
    <s v="Detail"/>
    <x v="1"/>
  </r>
  <r>
    <x v="32"/>
    <x v="13"/>
    <x v="6"/>
    <n v="10"/>
    <s v="Detail"/>
    <x v="1"/>
  </r>
  <r>
    <x v="32"/>
    <x v="14"/>
    <x v="6"/>
    <n v="0"/>
    <s v="Standalone"/>
    <x v="0"/>
  </r>
  <r>
    <x v="32"/>
    <x v="15"/>
    <x v="6"/>
    <n v="0"/>
    <s v="Standalone"/>
    <x v="0"/>
  </r>
  <r>
    <x v="32"/>
    <x v="16"/>
    <x v="6"/>
    <n v="116"/>
    <s v="Standalone"/>
    <x v="0"/>
  </r>
  <r>
    <x v="32"/>
    <x v="17"/>
    <x v="7"/>
    <n v="7"/>
    <s v="Standalone"/>
    <x v="0"/>
  </r>
  <r>
    <x v="32"/>
    <x v="18"/>
    <x v="7"/>
    <n v="0"/>
    <s v="Standalone"/>
    <x v="0"/>
  </r>
  <r>
    <x v="32"/>
    <x v="19"/>
    <x v="7"/>
    <n v="0"/>
    <s v="Standalone"/>
    <x v="0"/>
  </r>
  <r>
    <x v="32"/>
    <x v="20"/>
    <x v="8"/>
    <n v="231"/>
    <s v="Total"/>
    <x v="0"/>
  </r>
  <r>
    <x v="32"/>
    <x v="21"/>
    <x v="8"/>
    <n v="230"/>
    <s v="Detail"/>
    <x v="1"/>
  </r>
  <r>
    <x v="32"/>
    <x v="22"/>
    <x v="8"/>
    <n v="1"/>
    <s v="Detail"/>
    <x v="1"/>
  </r>
  <r>
    <x v="32"/>
    <x v="23"/>
    <x v="9"/>
    <n v="2"/>
    <s v="Total"/>
    <x v="0"/>
  </r>
  <r>
    <x v="32"/>
    <x v="24"/>
    <x v="9"/>
    <n v="2"/>
    <s v="Detail"/>
    <x v="1"/>
  </r>
  <r>
    <x v="32"/>
    <x v="25"/>
    <x v="9"/>
    <n v="0"/>
    <s v="Detail"/>
    <x v="1"/>
  </r>
  <r>
    <x v="32"/>
    <x v="26"/>
    <x v="10"/>
    <n v="1542"/>
    <s v="Total"/>
    <x v="0"/>
  </r>
  <r>
    <x v="32"/>
    <x v="27"/>
    <x v="10"/>
    <n v="1541"/>
    <s v="Detail"/>
    <x v="1"/>
  </r>
  <r>
    <x v="32"/>
    <x v="28"/>
    <x v="10"/>
    <n v="1"/>
    <s v="Detail"/>
    <x v="1"/>
  </r>
  <r>
    <x v="32"/>
    <x v="29"/>
    <x v="11"/>
    <n v="21"/>
    <s v="Total"/>
    <x v="0"/>
  </r>
  <r>
    <x v="32"/>
    <x v="30"/>
    <x v="11"/>
    <n v="21"/>
    <s v="Detail"/>
    <x v="1"/>
  </r>
  <r>
    <x v="32"/>
    <x v="31"/>
    <x v="11"/>
    <n v="0"/>
    <s v="Detail"/>
    <x v="1"/>
  </r>
  <r>
    <x v="32"/>
    <x v="32"/>
    <x v="12"/>
    <n v="15"/>
    <s v="Standalone"/>
    <x v="0"/>
  </r>
  <r>
    <x v="32"/>
    <x v="33"/>
    <x v="13"/>
    <n v="8"/>
    <s v="Total"/>
    <x v="0"/>
  </r>
  <r>
    <x v="32"/>
    <x v="34"/>
    <x v="13"/>
    <n v="0"/>
    <s v="Detail"/>
    <x v="1"/>
  </r>
  <r>
    <x v="32"/>
    <x v="35"/>
    <x v="13"/>
    <n v="0"/>
    <s v="Detail"/>
    <x v="1"/>
  </r>
  <r>
    <x v="32"/>
    <x v="36"/>
    <x v="13"/>
    <n v="0"/>
    <s v="Detail"/>
    <x v="1"/>
  </r>
  <r>
    <x v="32"/>
    <x v="37"/>
    <x v="13"/>
    <n v="0"/>
    <s v="Detail"/>
    <x v="1"/>
  </r>
  <r>
    <x v="32"/>
    <x v="38"/>
    <x v="13"/>
    <n v="8"/>
    <s v="Detail"/>
    <x v="1"/>
  </r>
  <r>
    <x v="32"/>
    <x v="39"/>
    <x v="5"/>
    <n v="0"/>
    <s v="Standalone"/>
    <x v="0"/>
  </r>
  <r>
    <x v="32"/>
    <x v="40"/>
    <x v="14"/>
    <n v="43"/>
    <s v="Total"/>
    <x v="0"/>
  </r>
  <r>
    <x v="32"/>
    <x v="41"/>
    <x v="14"/>
    <n v="39"/>
    <s v="Detail"/>
    <x v="1"/>
  </r>
  <r>
    <x v="32"/>
    <x v="42"/>
    <x v="14"/>
    <n v="4"/>
    <s v="Detail"/>
    <x v="1"/>
  </r>
  <r>
    <x v="32"/>
    <x v="43"/>
    <x v="15"/>
    <n v="320"/>
    <s v="Total"/>
    <x v="0"/>
  </r>
  <r>
    <x v="32"/>
    <x v="44"/>
    <x v="15"/>
    <n v="214"/>
    <s v="Detail"/>
    <x v="1"/>
  </r>
  <r>
    <x v="32"/>
    <x v="45"/>
    <x v="15"/>
    <n v="76"/>
    <s v="Detail"/>
    <x v="1"/>
  </r>
  <r>
    <x v="32"/>
    <x v="46"/>
    <x v="15"/>
    <n v="13"/>
    <s v="Detail"/>
    <x v="1"/>
  </r>
  <r>
    <x v="32"/>
    <x v="47"/>
    <x v="15"/>
    <n v="17"/>
    <s v="Detail"/>
    <x v="1"/>
  </r>
  <r>
    <x v="32"/>
    <x v="48"/>
    <x v="15"/>
    <n v="0"/>
    <s v="Detail"/>
    <x v="1"/>
  </r>
  <r>
    <x v="32"/>
    <x v="49"/>
    <x v="15"/>
    <n v="0"/>
    <s v="Detail"/>
    <x v="1"/>
  </r>
  <r>
    <x v="32"/>
    <x v="50"/>
    <x v="16"/>
    <n v="0"/>
    <s v="Standalone"/>
    <x v="0"/>
  </r>
  <r>
    <x v="33"/>
    <x v="0"/>
    <x v="0"/>
    <n v="0"/>
    <s v="Standalone"/>
    <x v="0"/>
  </r>
  <r>
    <x v="33"/>
    <x v="1"/>
    <x v="1"/>
    <n v="0"/>
    <s v="Standalone"/>
    <x v="0"/>
  </r>
  <r>
    <x v="33"/>
    <x v="2"/>
    <x v="2"/>
    <n v="0"/>
    <s v="Standalone"/>
    <x v="0"/>
  </r>
  <r>
    <x v="33"/>
    <x v="3"/>
    <x v="3"/>
    <n v="0"/>
    <s v="Standalone"/>
    <x v="0"/>
  </r>
  <r>
    <x v="33"/>
    <x v="4"/>
    <x v="4"/>
    <n v="0"/>
    <s v="Standalone"/>
    <x v="0"/>
  </r>
  <r>
    <x v="33"/>
    <x v="5"/>
    <x v="4"/>
    <n v="0"/>
    <s v="Standalone"/>
    <x v="0"/>
  </r>
  <r>
    <x v="33"/>
    <x v="6"/>
    <x v="5"/>
    <n v="6"/>
    <s v="Standalone"/>
    <x v="0"/>
  </r>
  <r>
    <x v="33"/>
    <x v="7"/>
    <x v="6"/>
    <n v="3"/>
    <s v="Total"/>
    <x v="0"/>
  </r>
  <r>
    <x v="33"/>
    <x v="8"/>
    <x v="6"/>
    <n v="3"/>
    <s v="Detail"/>
    <x v="1"/>
  </r>
  <r>
    <x v="33"/>
    <x v="9"/>
    <x v="6"/>
    <n v="0"/>
    <s v="Detail"/>
    <x v="1"/>
  </r>
  <r>
    <x v="33"/>
    <x v="10"/>
    <x v="6"/>
    <n v="0"/>
    <s v="Detail"/>
    <x v="1"/>
  </r>
  <r>
    <x v="33"/>
    <x v="11"/>
    <x v="6"/>
    <n v="0"/>
    <s v="Total"/>
    <x v="1"/>
  </r>
  <r>
    <x v="33"/>
    <x v="12"/>
    <x v="6"/>
    <n v="0"/>
    <s v="Detail"/>
    <x v="1"/>
  </r>
  <r>
    <x v="33"/>
    <x v="13"/>
    <x v="6"/>
    <n v="0"/>
    <s v="Detail"/>
    <x v="1"/>
  </r>
  <r>
    <x v="33"/>
    <x v="14"/>
    <x v="6"/>
    <n v="0"/>
    <s v="Standalone"/>
    <x v="0"/>
  </r>
  <r>
    <x v="33"/>
    <x v="15"/>
    <x v="6"/>
    <n v="0"/>
    <s v="Standalone"/>
    <x v="0"/>
  </r>
  <r>
    <x v="33"/>
    <x v="16"/>
    <x v="6"/>
    <n v="0"/>
    <s v="Standalone"/>
    <x v="0"/>
  </r>
  <r>
    <x v="33"/>
    <x v="17"/>
    <x v="7"/>
    <n v="0"/>
    <s v="Standalone"/>
    <x v="0"/>
  </r>
  <r>
    <x v="33"/>
    <x v="18"/>
    <x v="7"/>
    <n v="0"/>
    <s v="Standalone"/>
    <x v="0"/>
  </r>
  <r>
    <x v="33"/>
    <x v="19"/>
    <x v="7"/>
    <n v="0"/>
    <s v="Standalone"/>
    <x v="0"/>
  </r>
  <r>
    <x v="33"/>
    <x v="20"/>
    <x v="8"/>
    <n v="2"/>
    <s v="Total"/>
    <x v="0"/>
  </r>
  <r>
    <x v="33"/>
    <x v="21"/>
    <x v="8"/>
    <n v="2"/>
    <s v="Detail"/>
    <x v="1"/>
  </r>
  <r>
    <x v="33"/>
    <x v="22"/>
    <x v="8"/>
    <n v="0"/>
    <s v="Detail"/>
    <x v="1"/>
  </r>
  <r>
    <x v="33"/>
    <x v="23"/>
    <x v="9"/>
    <n v="0"/>
    <s v="Total"/>
    <x v="0"/>
  </r>
  <r>
    <x v="33"/>
    <x v="24"/>
    <x v="9"/>
    <n v="0"/>
    <s v="Detail"/>
    <x v="1"/>
  </r>
  <r>
    <x v="33"/>
    <x v="25"/>
    <x v="9"/>
    <n v="0"/>
    <s v="Detail"/>
    <x v="1"/>
  </r>
  <r>
    <x v="33"/>
    <x v="26"/>
    <x v="10"/>
    <n v="2"/>
    <s v="Total"/>
    <x v="0"/>
  </r>
  <r>
    <x v="33"/>
    <x v="27"/>
    <x v="10"/>
    <n v="2"/>
    <s v="Detail"/>
    <x v="1"/>
  </r>
  <r>
    <x v="33"/>
    <x v="28"/>
    <x v="10"/>
    <n v="0"/>
    <s v="Detail"/>
    <x v="1"/>
  </r>
  <r>
    <x v="33"/>
    <x v="29"/>
    <x v="11"/>
    <n v="4"/>
    <s v="Total"/>
    <x v="0"/>
  </r>
  <r>
    <x v="33"/>
    <x v="30"/>
    <x v="11"/>
    <n v="4"/>
    <s v="Detail"/>
    <x v="1"/>
  </r>
  <r>
    <x v="33"/>
    <x v="31"/>
    <x v="11"/>
    <n v="0"/>
    <s v="Detail"/>
    <x v="1"/>
  </r>
  <r>
    <x v="33"/>
    <x v="32"/>
    <x v="12"/>
    <n v="0"/>
    <s v="Standalone"/>
    <x v="0"/>
  </r>
  <r>
    <x v="33"/>
    <x v="33"/>
    <x v="13"/>
    <n v="0"/>
    <s v="Total"/>
    <x v="0"/>
  </r>
  <r>
    <x v="33"/>
    <x v="34"/>
    <x v="13"/>
    <n v="0"/>
    <s v="Detail"/>
    <x v="1"/>
  </r>
  <r>
    <x v="33"/>
    <x v="35"/>
    <x v="13"/>
    <n v="0"/>
    <s v="Detail"/>
    <x v="1"/>
  </r>
  <r>
    <x v="33"/>
    <x v="36"/>
    <x v="13"/>
    <n v="0"/>
    <s v="Detail"/>
    <x v="1"/>
  </r>
  <r>
    <x v="33"/>
    <x v="37"/>
    <x v="13"/>
    <n v="0"/>
    <s v="Detail"/>
    <x v="1"/>
  </r>
  <r>
    <x v="33"/>
    <x v="38"/>
    <x v="13"/>
    <n v="0"/>
    <s v="Detail"/>
    <x v="1"/>
  </r>
  <r>
    <x v="33"/>
    <x v="39"/>
    <x v="5"/>
    <n v="0"/>
    <s v="Standalone"/>
    <x v="0"/>
  </r>
  <r>
    <x v="33"/>
    <x v="40"/>
    <x v="14"/>
    <n v="0"/>
    <s v="Total"/>
    <x v="0"/>
  </r>
  <r>
    <x v="33"/>
    <x v="41"/>
    <x v="14"/>
    <n v="0"/>
    <s v="Detail"/>
    <x v="1"/>
  </r>
  <r>
    <x v="33"/>
    <x v="42"/>
    <x v="14"/>
    <n v="0"/>
    <s v="Detail"/>
    <x v="1"/>
  </r>
  <r>
    <x v="33"/>
    <x v="43"/>
    <x v="15"/>
    <n v="3"/>
    <s v="Total"/>
    <x v="0"/>
  </r>
  <r>
    <x v="33"/>
    <x v="44"/>
    <x v="15"/>
    <n v="3"/>
    <s v="Detail"/>
    <x v="1"/>
  </r>
  <r>
    <x v="33"/>
    <x v="45"/>
    <x v="15"/>
    <n v="0"/>
    <s v="Detail"/>
    <x v="1"/>
  </r>
  <r>
    <x v="33"/>
    <x v="46"/>
    <x v="15"/>
    <n v="0"/>
    <s v="Detail"/>
    <x v="1"/>
  </r>
  <r>
    <x v="33"/>
    <x v="47"/>
    <x v="15"/>
    <n v="0"/>
    <s v="Detail"/>
    <x v="1"/>
  </r>
  <r>
    <x v="33"/>
    <x v="48"/>
    <x v="15"/>
    <n v="0"/>
    <s v="Detail"/>
    <x v="1"/>
  </r>
  <r>
    <x v="33"/>
    <x v="49"/>
    <x v="15"/>
    <n v="0"/>
    <s v="Detail"/>
    <x v="1"/>
  </r>
  <r>
    <x v="33"/>
    <x v="50"/>
    <x v="16"/>
    <n v="0"/>
    <s v="Standalone"/>
    <x v="0"/>
  </r>
  <r>
    <x v="34"/>
    <x v="0"/>
    <x v="0"/>
    <n v="0"/>
    <s v="Standalone"/>
    <x v="0"/>
  </r>
  <r>
    <x v="34"/>
    <x v="1"/>
    <x v="1"/>
    <n v="0"/>
    <s v="Standalone"/>
    <x v="0"/>
  </r>
  <r>
    <x v="34"/>
    <x v="2"/>
    <x v="2"/>
    <n v="0"/>
    <s v="Standalone"/>
    <x v="0"/>
  </r>
  <r>
    <x v="34"/>
    <x v="3"/>
    <x v="3"/>
    <n v="0"/>
    <s v="Standalone"/>
    <x v="0"/>
  </r>
  <r>
    <x v="34"/>
    <x v="4"/>
    <x v="4"/>
    <n v="0"/>
    <s v="Standalone"/>
    <x v="0"/>
  </r>
  <r>
    <x v="34"/>
    <x v="5"/>
    <x v="4"/>
    <n v="0"/>
    <s v="Standalone"/>
    <x v="0"/>
  </r>
  <r>
    <x v="34"/>
    <x v="6"/>
    <x v="5"/>
    <n v="3"/>
    <s v="Standalone"/>
    <x v="0"/>
  </r>
  <r>
    <x v="34"/>
    <x v="7"/>
    <x v="6"/>
    <n v="0"/>
    <s v="Total"/>
    <x v="0"/>
  </r>
  <r>
    <x v="34"/>
    <x v="8"/>
    <x v="6"/>
    <n v="0"/>
    <s v="Detail"/>
    <x v="1"/>
  </r>
  <r>
    <x v="34"/>
    <x v="9"/>
    <x v="6"/>
    <n v="0"/>
    <s v="Detail"/>
    <x v="1"/>
  </r>
  <r>
    <x v="34"/>
    <x v="10"/>
    <x v="6"/>
    <n v="0"/>
    <s v="Detail"/>
    <x v="1"/>
  </r>
  <r>
    <x v="34"/>
    <x v="11"/>
    <x v="6"/>
    <n v="0"/>
    <s v="Total"/>
    <x v="1"/>
  </r>
  <r>
    <x v="34"/>
    <x v="12"/>
    <x v="6"/>
    <n v="0"/>
    <s v="Detail"/>
    <x v="1"/>
  </r>
  <r>
    <x v="34"/>
    <x v="13"/>
    <x v="6"/>
    <n v="0"/>
    <s v="Detail"/>
    <x v="1"/>
  </r>
  <r>
    <x v="34"/>
    <x v="14"/>
    <x v="6"/>
    <n v="0"/>
    <s v="Standalone"/>
    <x v="0"/>
  </r>
  <r>
    <x v="34"/>
    <x v="15"/>
    <x v="6"/>
    <n v="0"/>
    <s v="Standalone"/>
    <x v="0"/>
  </r>
  <r>
    <x v="34"/>
    <x v="16"/>
    <x v="6"/>
    <n v="0"/>
    <s v="Standalone"/>
    <x v="0"/>
  </r>
  <r>
    <x v="34"/>
    <x v="17"/>
    <x v="7"/>
    <n v="0"/>
    <s v="Standalone"/>
    <x v="0"/>
  </r>
  <r>
    <x v="34"/>
    <x v="18"/>
    <x v="7"/>
    <n v="0"/>
    <s v="Standalone"/>
    <x v="0"/>
  </r>
  <r>
    <x v="34"/>
    <x v="19"/>
    <x v="7"/>
    <n v="0"/>
    <s v="Standalone"/>
    <x v="0"/>
  </r>
  <r>
    <x v="34"/>
    <x v="20"/>
    <x v="8"/>
    <n v="1"/>
    <s v="Total"/>
    <x v="0"/>
  </r>
  <r>
    <x v="34"/>
    <x v="21"/>
    <x v="8"/>
    <n v="1"/>
    <s v="Detail"/>
    <x v="1"/>
  </r>
  <r>
    <x v="34"/>
    <x v="22"/>
    <x v="8"/>
    <n v="0"/>
    <s v="Detail"/>
    <x v="1"/>
  </r>
  <r>
    <x v="34"/>
    <x v="23"/>
    <x v="9"/>
    <n v="0"/>
    <s v="Total"/>
    <x v="0"/>
  </r>
  <r>
    <x v="34"/>
    <x v="24"/>
    <x v="9"/>
    <n v="0"/>
    <s v="Detail"/>
    <x v="1"/>
  </r>
  <r>
    <x v="34"/>
    <x v="25"/>
    <x v="9"/>
    <n v="0"/>
    <s v="Detail"/>
    <x v="1"/>
  </r>
  <r>
    <x v="34"/>
    <x v="26"/>
    <x v="10"/>
    <n v="7"/>
    <s v="Total"/>
    <x v="0"/>
  </r>
  <r>
    <x v="34"/>
    <x v="27"/>
    <x v="10"/>
    <n v="7"/>
    <s v="Detail"/>
    <x v="1"/>
  </r>
  <r>
    <x v="34"/>
    <x v="28"/>
    <x v="10"/>
    <n v="0"/>
    <s v="Detail"/>
    <x v="1"/>
  </r>
  <r>
    <x v="34"/>
    <x v="29"/>
    <x v="11"/>
    <n v="1"/>
    <s v="Total"/>
    <x v="0"/>
  </r>
  <r>
    <x v="34"/>
    <x v="30"/>
    <x v="11"/>
    <n v="1"/>
    <s v="Detail"/>
    <x v="1"/>
  </r>
  <r>
    <x v="34"/>
    <x v="31"/>
    <x v="11"/>
    <n v="0"/>
    <s v="Detail"/>
    <x v="1"/>
  </r>
  <r>
    <x v="34"/>
    <x v="32"/>
    <x v="12"/>
    <n v="0"/>
    <s v="Standalone"/>
    <x v="0"/>
  </r>
  <r>
    <x v="34"/>
    <x v="33"/>
    <x v="13"/>
    <n v="0"/>
    <s v="Total"/>
    <x v="0"/>
  </r>
  <r>
    <x v="34"/>
    <x v="34"/>
    <x v="13"/>
    <n v="0"/>
    <s v="Detail"/>
    <x v="1"/>
  </r>
  <r>
    <x v="34"/>
    <x v="35"/>
    <x v="13"/>
    <n v="0"/>
    <s v="Detail"/>
    <x v="1"/>
  </r>
  <r>
    <x v="34"/>
    <x v="36"/>
    <x v="13"/>
    <n v="0"/>
    <s v="Detail"/>
    <x v="1"/>
  </r>
  <r>
    <x v="34"/>
    <x v="37"/>
    <x v="13"/>
    <n v="0"/>
    <s v="Detail"/>
    <x v="1"/>
  </r>
  <r>
    <x v="34"/>
    <x v="38"/>
    <x v="13"/>
    <n v="0"/>
    <s v="Detail"/>
    <x v="1"/>
  </r>
  <r>
    <x v="34"/>
    <x v="39"/>
    <x v="5"/>
    <n v="0"/>
    <s v="Standalone"/>
    <x v="0"/>
  </r>
  <r>
    <x v="34"/>
    <x v="40"/>
    <x v="14"/>
    <n v="1"/>
    <s v="Total"/>
    <x v="0"/>
  </r>
  <r>
    <x v="34"/>
    <x v="41"/>
    <x v="14"/>
    <n v="1"/>
    <s v="Detail"/>
    <x v="1"/>
  </r>
  <r>
    <x v="34"/>
    <x v="42"/>
    <x v="14"/>
    <n v="0"/>
    <s v="Detail"/>
    <x v="1"/>
  </r>
  <r>
    <x v="34"/>
    <x v="43"/>
    <x v="15"/>
    <n v="9"/>
    <s v="Total"/>
    <x v="0"/>
  </r>
  <r>
    <x v="34"/>
    <x v="44"/>
    <x v="15"/>
    <n v="1"/>
    <s v="Detail"/>
    <x v="1"/>
  </r>
  <r>
    <x v="34"/>
    <x v="45"/>
    <x v="15"/>
    <n v="5"/>
    <s v="Detail"/>
    <x v="1"/>
  </r>
  <r>
    <x v="34"/>
    <x v="46"/>
    <x v="15"/>
    <n v="0"/>
    <s v="Detail"/>
    <x v="1"/>
  </r>
  <r>
    <x v="34"/>
    <x v="47"/>
    <x v="15"/>
    <n v="2"/>
    <s v="Detail"/>
    <x v="1"/>
  </r>
  <r>
    <x v="34"/>
    <x v="48"/>
    <x v="15"/>
    <n v="1"/>
    <s v="Detail"/>
    <x v="1"/>
  </r>
  <r>
    <x v="34"/>
    <x v="49"/>
    <x v="15"/>
    <n v="0"/>
    <s v="Detail"/>
    <x v="1"/>
  </r>
  <r>
    <x v="34"/>
    <x v="50"/>
    <x v="16"/>
    <n v="1"/>
    <s v="Standalone"/>
    <x v="0"/>
  </r>
  <r>
    <x v="35"/>
    <x v="0"/>
    <x v="0"/>
    <n v="0"/>
    <s v="Standalone"/>
    <x v="0"/>
  </r>
  <r>
    <x v="35"/>
    <x v="1"/>
    <x v="1"/>
    <n v="1"/>
    <s v="Standalone"/>
    <x v="0"/>
  </r>
  <r>
    <x v="35"/>
    <x v="2"/>
    <x v="2"/>
    <n v="4"/>
    <s v="Standalone"/>
    <x v="0"/>
  </r>
  <r>
    <x v="35"/>
    <x v="3"/>
    <x v="3"/>
    <n v="0"/>
    <s v="Standalone"/>
    <x v="0"/>
  </r>
  <r>
    <x v="35"/>
    <x v="4"/>
    <x v="4"/>
    <n v="0"/>
    <s v="Standalone"/>
    <x v="0"/>
  </r>
  <r>
    <x v="35"/>
    <x v="5"/>
    <x v="4"/>
    <n v="0"/>
    <s v="Standalone"/>
    <x v="0"/>
  </r>
  <r>
    <x v="35"/>
    <x v="6"/>
    <x v="5"/>
    <n v="9"/>
    <s v="Standalone"/>
    <x v="0"/>
  </r>
  <r>
    <x v="35"/>
    <x v="7"/>
    <x v="6"/>
    <n v="16"/>
    <s v="Total"/>
    <x v="0"/>
  </r>
  <r>
    <x v="35"/>
    <x v="8"/>
    <x v="6"/>
    <n v="15"/>
    <s v="Detail"/>
    <x v="1"/>
  </r>
  <r>
    <x v="35"/>
    <x v="9"/>
    <x v="6"/>
    <n v="0"/>
    <s v="Detail"/>
    <x v="1"/>
  </r>
  <r>
    <x v="35"/>
    <x v="10"/>
    <x v="6"/>
    <n v="0"/>
    <s v="Detail"/>
    <x v="1"/>
  </r>
  <r>
    <x v="35"/>
    <x v="11"/>
    <x v="6"/>
    <n v="0"/>
    <s v="Total"/>
    <x v="1"/>
  </r>
  <r>
    <x v="35"/>
    <x v="12"/>
    <x v="6"/>
    <n v="0"/>
    <s v="Detail"/>
    <x v="1"/>
  </r>
  <r>
    <x v="35"/>
    <x v="13"/>
    <x v="6"/>
    <n v="0"/>
    <s v="Detail"/>
    <x v="1"/>
  </r>
  <r>
    <x v="35"/>
    <x v="14"/>
    <x v="6"/>
    <n v="0"/>
    <s v="Standalone"/>
    <x v="0"/>
  </r>
  <r>
    <x v="35"/>
    <x v="15"/>
    <x v="6"/>
    <n v="0"/>
    <s v="Standalone"/>
    <x v="0"/>
  </r>
  <r>
    <x v="35"/>
    <x v="16"/>
    <x v="6"/>
    <n v="1"/>
    <s v="Standalone"/>
    <x v="0"/>
  </r>
  <r>
    <x v="35"/>
    <x v="17"/>
    <x v="7"/>
    <n v="15"/>
    <s v="Standalone"/>
    <x v="0"/>
  </r>
  <r>
    <x v="35"/>
    <x v="18"/>
    <x v="7"/>
    <n v="0"/>
    <s v="Standalone"/>
    <x v="0"/>
  </r>
  <r>
    <x v="35"/>
    <x v="19"/>
    <x v="7"/>
    <n v="0"/>
    <s v="Standalone"/>
    <x v="0"/>
  </r>
  <r>
    <x v="35"/>
    <x v="20"/>
    <x v="8"/>
    <n v="9"/>
    <s v="Total"/>
    <x v="0"/>
  </r>
  <r>
    <x v="35"/>
    <x v="21"/>
    <x v="8"/>
    <n v="9"/>
    <s v="Detail"/>
    <x v="1"/>
  </r>
  <r>
    <x v="35"/>
    <x v="22"/>
    <x v="8"/>
    <n v="0"/>
    <s v="Detail"/>
    <x v="1"/>
  </r>
  <r>
    <x v="35"/>
    <x v="23"/>
    <x v="9"/>
    <n v="1"/>
    <s v="Total"/>
    <x v="0"/>
  </r>
  <r>
    <x v="35"/>
    <x v="24"/>
    <x v="9"/>
    <n v="1"/>
    <s v="Detail"/>
    <x v="1"/>
  </r>
  <r>
    <x v="35"/>
    <x v="25"/>
    <x v="9"/>
    <n v="0"/>
    <s v="Detail"/>
    <x v="1"/>
  </r>
  <r>
    <x v="35"/>
    <x v="26"/>
    <x v="10"/>
    <n v="30"/>
    <s v="Total"/>
    <x v="0"/>
  </r>
  <r>
    <x v="35"/>
    <x v="27"/>
    <x v="10"/>
    <n v="30"/>
    <s v="Detail"/>
    <x v="1"/>
  </r>
  <r>
    <x v="35"/>
    <x v="28"/>
    <x v="10"/>
    <n v="0"/>
    <s v="Detail"/>
    <x v="1"/>
  </r>
  <r>
    <x v="35"/>
    <x v="29"/>
    <x v="11"/>
    <n v="9"/>
    <s v="Total"/>
    <x v="0"/>
  </r>
  <r>
    <x v="35"/>
    <x v="30"/>
    <x v="11"/>
    <n v="9"/>
    <s v="Detail"/>
    <x v="1"/>
  </r>
  <r>
    <x v="35"/>
    <x v="31"/>
    <x v="11"/>
    <n v="0"/>
    <s v="Detail"/>
    <x v="1"/>
  </r>
  <r>
    <x v="35"/>
    <x v="32"/>
    <x v="12"/>
    <n v="14"/>
    <s v="Standalone"/>
    <x v="0"/>
  </r>
  <r>
    <x v="35"/>
    <x v="33"/>
    <x v="13"/>
    <n v="3"/>
    <s v="Total"/>
    <x v="0"/>
  </r>
  <r>
    <x v="35"/>
    <x v="34"/>
    <x v="13"/>
    <n v="0"/>
    <s v="Detail"/>
    <x v="1"/>
  </r>
  <r>
    <x v="35"/>
    <x v="35"/>
    <x v="13"/>
    <n v="0"/>
    <s v="Detail"/>
    <x v="1"/>
  </r>
  <r>
    <x v="35"/>
    <x v="36"/>
    <x v="13"/>
    <n v="0"/>
    <s v="Detail"/>
    <x v="1"/>
  </r>
  <r>
    <x v="35"/>
    <x v="37"/>
    <x v="13"/>
    <n v="0"/>
    <s v="Detail"/>
    <x v="1"/>
  </r>
  <r>
    <x v="35"/>
    <x v="38"/>
    <x v="13"/>
    <n v="3"/>
    <s v="Detail"/>
    <x v="1"/>
  </r>
  <r>
    <x v="35"/>
    <x v="39"/>
    <x v="5"/>
    <n v="0"/>
    <s v="Standalone"/>
    <x v="0"/>
  </r>
  <r>
    <x v="35"/>
    <x v="40"/>
    <x v="14"/>
    <n v="10"/>
    <s v="Total"/>
    <x v="0"/>
  </r>
  <r>
    <x v="35"/>
    <x v="41"/>
    <x v="14"/>
    <n v="10"/>
    <s v="Detail"/>
    <x v="1"/>
  </r>
  <r>
    <x v="35"/>
    <x v="42"/>
    <x v="14"/>
    <n v="0"/>
    <s v="Detail"/>
    <x v="1"/>
  </r>
  <r>
    <x v="35"/>
    <x v="43"/>
    <x v="15"/>
    <n v="91"/>
    <s v="Total"/>
    <x v="0"/>
  </r>
  <r>
    <x v="35"/>
    <x v="44"/>
    <x v="15"/>
    <n v="56"/>
    <s v="Detail"/>
    <x v="1"/>
  </r>
  <r>
    <x v="35"/>
    <x v="45"/>
    <x v="15"/>
    <n v="25"/>
    <s v="Detail"/>
    <x v="1"/>
  </r>
  <r>
    <x v="35"/>
    <x v="46"/>
    <x v="15"/>
    <n v="10"/>
    <s v="Detail"/>
    <x v="1"/>
  </r>
  <r>
    <x v="35"/>
    <x v="47"/>
    <x v="15"/>
    <n v="0"/>
    <s v="Detail"/>
    <x v="1"/>
  </r>
  <r>
    <x v="35"/>
    <x v="48"/>
    <x v="15"/>
    <n v="0"/>
    <s v="Detail"/>
    <x v="1"/>
  </r>
  <r>
    <x v="35"/>
    <x v="49"/>
    <x v="15"/>
    <n v="0"/>
    <s v="Detail"/>
    <x v="1"/>
  </r>
  <r>
    <x v="35"/>
    <x v="50"/>
    <x v="16"/>
    <n v="0"/>
    <s v="Standalon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6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rime Head">
  <location ref="A3:C28" firstHeaderRow="0" firstDataRow="1" firstDataCol="1" rowPageCount="1" colPageCount="1"/>
  <pivotFields count="6">
    <pivotField showAll="0"/>
    <pivotField axis="axisRow" showAll="0" sortType="descending">
      <items count="52">
        <item x="2"/>
        <item x="4"/>
        <item x="28"/>
        <item x="27"/>
        <item x="26"/>
        <item x="5"/>
        <item x="25"/>
        <item x="24"/>
        <item x="23"/>
        <item x="19"/>
        <item x="6"/>
        <item x="39"/>
        <item x="1"/>
        <item x="32"/>
        <item x="17"/>
        <item x="35"/>
        <item x="38"/>
        <item x="34"/>
        <item x="36"/>
        <item x="37"/>
        <item x="33"/>
        <item x="50"/>
        <item x="31"/>
        <item x="30"/>
        <item x="29"/>
        <item x="8"/>
        <item x="7"/>
        <item x="15"/>
        <item x="13"/>
        <item x="12"/>
        <item x="11"/>
        <item x="9"/>
        <item x="14"/>
        <item x="10"/>
        <item x="3"/>
        <item x="0"/>
        <item x="16"/>
        <item x="42"/>
        <item x="47"/>
        <item x="44"/>
        <item x="48"/>
        <item x="45"/>
        <item x="46"/>
        <item x="49"/>
        <item x="43"/>
        <item x="41"/>
        <item x="22"/>
        <item x="21"/>
        <item x="20"/>
        <item x="18"/>
        <item x="4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axis="axisPage" showAll="0" defaultSubtotal="0">
      <items count="2">
        <item x="1"/>
        <item x="0"/>
      </items>
    </pivotField>
  </pivotFields>
  <rowFields count="1">
    <field x="1"/>
  </rowFields>
  <rowItems count="25">
    <i>
      <x v="10"/>
    </i>
    <i>
      <x v="26"/>
    </i>
    <i>
      <x v="4"/>
    </i>
    <i>
      <x v="44"/>
    </i>
    <i>
      <x v="48"/>
    </i>
    <i>
      <x v="13"/>
    </i>
    <i>
      <x v="24"/>
    </i>
    <i>
      <x v="36"/>
    </i>
    <i>
      <x v="12"/>
    </i>
    <i>
      <x/>
    </i>
    <i>
      <x v="50"/>
    </i>
    <i>
      <x v="8"/>
    </i>
    <i>
      <x v="32"/>
    </i>
    <i>
      <x v="20"/>
    </i>
    <i>
      <x v="14"/>
    </i>
    <i>
      <x v="11"/>
    </i>
    <i>
      <x v="34"/>
    </i>
    <i>
      <x v="35"/>
    </i>
    <i>
      <x v="1"/>
    </i>
    <i>
      <x v="5"/>
    </i>
    <i>
      <x v="21"/>
    </i>
    <i>
      <x v="49"/>
    </i>
    <i>
      <x v="9"/>
    </i>
    <i>
      <x v="27"/>
    </i>
    <i t="grand">
      <x/>
    </i>
  </rowItems>
  <colFields count="1">
    <field x="-2"/>
  </colFields>
  <colItems count="2">
    <i>
      <x/>
    </i>
    <i i="1">
      <x v="1"/>
    </i>
  </colItems>
  <pageFields count="1">
    <pageField fld="5" item="1" hier="-1"/>
  </pageFields>
  <dataFields count="2">
    <dataField name="Reported Cases" fld="3" baseField="1" baseItem="0"/>
    <dataField name="Percentage of Total" fld="3"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6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4">
  <location ref="I5:K15" firstHeaderRow="0" firstDataRow="1" firstDataCol="1" rowPageCount="1" colPageCount="1"/>
  <pivotFields count="6">
    <pivotField showAll="0">
      <items count="37">
        <item x="28"/>
        <item x="0"/>
        <item x="1"/>
        <item x="2"/>
        <item x="3"/>
        <item x="29"/>
        <item x="4"/>
        <item x="30"/>
        <item x="31"/>
        <item x="5"/>
        <item x="6"/>
        <item x="7"/>
        <item x="8"/>
        <item x="32"/>
        <item x="9"/>
        <item x="10"/>
        <item x="11"/>
        <item x="33"/>
        <item x="34"/>
        <item x="12"/>
        <item x="13"/>
        <item x="14"/>
        <item x="15"/>
        <item x="16"/>
        <item x="17"/>
        <item x="18"/>
        <item x="35"/>
        <item x="19"/>
        <item x="20"/>
        <item x="21"/>
        <item x="22"/>
        <item x="23"/>
        <item x="24"/>
        <item x="25"/>
        <item x="26"/>
        <item x="27"/>
        <item t="default"/>
      </items>
    </pivotField>
    <pivotField axis="axisRow" showAll="0" measureFilter="1" sortType="descending">
      <items count="52">
        <item x="2"/>
        <item x="4"/>
        <item x="28"/>
        <item x="27"/>
        <item x="26"/>
        <item x="5"/>
        <item x="25"/>
        <item x="24"/>
        <item x="23"/>
        <item x="19"/>
        <item x="6"/>
        <item x="39"/>
        <item x="1"/>
        <item x="32"/>
        <item x="17"/>
        <item x="35"/>
        <item x="38"/>
        <item x="34"/>
        <item x="36"/>
        <item x="37"/>
        <item x="33"/>
        <item x="50"/>
        <item x="31"/>
        <item x="30"/>
        <item x="29"/>
        <item x="8"/>
        <item x="7"/>
        <item x="15"/>
        <item x="13"/>
        <item x="12"/>
        <item x="11"/>
        <item x="9"/>
        <item x="14"/>
        <item x="10"/>
        <item x="3"/>
        <item x="0"/>
        <item x="16"/>
        <item x="42"/>
        <item x="47"/>
        <item x="44"/>
        <item x="48"/>
        <item x="45"/>
        <item x="46"/>
        <item x="49"/>
        <item x="43"/>
        <item x="41"/>
        <item x="22"/>
        <item x="21"/>
        <item x="20"/>
        <item x="18"/>
        <item x="40"/>
        <item t="default"/>
      </items>
      <autoSortScope>
        <pivotArea dataOnly="0" outline="0" fieldPosition="0">
          <references count="1">
            <reference field="4294967294" count="1" selected="0">
              <x v="0"/>
            </reference>
          </references>
        </pivotArea>
      </autoSortScope>
    </pivotField>
    <pivotField showAll="0">
      <items count="18">
        <item x="2"/>
        <item x="4"/>
        <item x="10"/>
        <item x="9"/>
        <item x="14"/>
        <item x="5"/>
        <item x="1"/>
        <item x="12"/>
        <item x="7"/>
        <item x="13"/>
        <item x="16"/>
        <item x="11"/>
        <item x="6"/>
        <item x="3"/>
        <item x="0"/>
        <item x="15"/>
        <item x="8"/>
        <item t="default"/>
      </items>
    </pivotField>
    <pivotField dataField="1" showAll="0"/>
    <pivotField showAll="0"/>
    <pivotField axis="axisPage" showAll="0">
      <items count="3">
        <item x="1"/>
        <item x="0"/>
        <item t="default"/>
      </items>
    </pivotField>
  </pivotFields>
  <rowFields count="1">
    <field x="1"/>
  </rowFields>
  <rowItems count="10">
    <i>
      <x v="10"/>
    </i>
    <i>
      <x v="26"/>
    </i>
    <i>
      <x v="4"/>
    </i>
    <i>
      <x v="44"/>
    </i>
    <i>
      <x v="48"/>
    </i>
    <i>
      <x v="13"/>
    </i>
    <i>
      <x v="24"/>
    </i>
    <i>
      <x v="36"/>
    </i>
    <i>
      <x v="12"/>
    </i>
    <i>
      <x/>
    </i>
  </rowItems>
  <colFields count="1">
    <field x="-2"/>
  </colFields>
  <colItems count="2">
    <i>
      <x/>
    </i>
    <i i="1">
      <x v="1"/>
    </i>
  </colItems>
  <pageFields count="1">
    <pageField fld="5" item="1" hier="-1"/>
  </pageFields>
  <dataFields count="2">
    <dataField name="Reported Cases" fld="3" baseField="1" baseItem="10"/>
    <dataField name="Percentage of Total" fld="3" showDataAs="percentOfTotal" baseField="0" baseItem="0" numFmtId="10"/>
  </dataFields>
  <chartFormats count="18">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6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State/UT" colHeaderCaption="Crime Category">
  <location ref="M5:AD42" firstHeaderRow="1" firstDataRow="2" firstDataCol="1" rowPageCount="1" colPageCount="1"/>
  <pivotFields count="6">
    <pivotField axis="axisRow" showAll="0">
      <items count="37">
        <item x="28"/>
        <item x="0"/>
        <item x="1"/>
        <item x="2"/>
        <item x="3"/>
        <item x="29"/>
        <item x="4"/>
        <item x="30"/>
        <item x="31"/>
        <item x="5"/>
        <item x="6"/>
        <item x="7"/>
        <item x="8"/>
        <item x="32"/>
        <item x="9"/>
        <item x="10"/>
        <item x="11"/>
        <item x="33"/>
        <item x="34"/>
        <item x="12"/>
        <item x="13"/>
        <item x="14"/>
        <item x="15"/>
        <item x="16"/>
        <item x="17"/>
        <item x="18"/>
        <item x="35"/>
        <item x="19"/>
        <item x="20"/>
        <item x="21"/>
        <item x="22"/>
        <item x="23"/>
        <item x="24"/>
        <item x="25"/>
        <item x="26"/>
        <item x="27"/>
        <item t="default"/>
      </items>
    </pivotField>
    <pivotField showAll="0">
      <items count="52">
        <item x="2"/>
        <item x="4"/>
        <item x="28"/>
        <item x="27"/>
        <item x="26"/>
        <item x="5"/>
        <item x="25"/>
        <item x="24"/>
        <item x="23"/>
        <item x="19"/>
        <item x="6"/>
        <item x="39"/>
        <item x="1"/>
        <item x="32"/>
        <item x="17"/>
        <item x="35"/>
        <item x="38"/>
        <item x="34"/>
        <item x="36"/>
        <item x="37"/>
        <item x="33"/>
        <item x="50"/>
        <item x="31"/>
        <item x="30"/>
        <item x="29"/>
        <item x="8"/>
        <item x="7"/>
        <item x="15"/>
        <item x="13"/>
        <item x="12"/>
        <item x="11"/>
        <item x="9"/>
        <item x="14"/>
        <item x="10"/>
        <item x="3"/>
        <item x="0"/>
        <item x="16"/>
        <item x="42"/>
        <item x="47"/>
        <item x="44"/>
        <item x="48"/>
        <item x="45"/>
        <item x="46"/>
        <item x="49"/>
        <item x="43"/>
        <item x="41"/>
        <item x="22"/>
        <item x="21"/>
        <item x="20"/>
        <item x="18"/>
        <item x="40"/>
        <item t="default"/>
      </items>
    </pivotField>
    <pivotField axis="axisCol" showAll="0">
      <items count="18">
        <item x="2"/>
        <item x="4"/>
        <item x="10"/>
        <item x="9"/>
        <item x="14"/>
        <item x="5"/>
        <item x="1"/>
        <item x="12"/>
        <item x="7"/>
        <item x="13"/>
        <item x="16"/>
        <item x="11"/>
        <item x="6"/>
        <item x="3"/>
        <item x="0"/>
        <item x="15"/>
        <item x="8"/>
        <item t="default"/>
      </items>
    </pivotField>
    <pivotField dataField="1" showAll="0"/>
    <pivotField showAll="0"/>
    <pivotField axis="axisPage" showAll="0" defaultSubtotal="0">
      <items count="2">
        <item x="1"/>
        <item x="0"/>
      </items>
    </pivotField>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rowItems>
  <colFields count="1">
    <field x="2"/>
  </colFields>
  <colItems count="17">
    <i>
      <x/>
    </i>
    <i>
      <x v="1"/>
    </i>
    <i>
      <x v="2"/>
    </i>
    <i>
      <x v="3"/>
    </i>
    <i>
      <x v="4"/>
    </i>
    <i>
      <x v="5"/>
    </i>
    <i>
      <x v="6"/>
    </i>
    <i>
      <x v="7"/>
    </i>
    <i>
      <x v="8"/>
    </i>
    <i>
      <x v="9"/>
    </i>
    <i>
      <x v="10"/>
    </i>
    <i>
      <x v="11"/>
    </i>
    <i>
      <x v="12"/>
    </i>
    <i>
      <x v="13"/>
    </i>
    <i>
      <x v="14"/>
    </i>
    <i>
      <x v="15"/>
    </i>
    <i>
      <x v="16"/>
    </i>
  </colItems>
  <pageFields count="1">
    <pageField fld="5" item="1" hier="-1"/>
  </pageFields>
  <dataFields count="1">
    <dataField name="Reported Cases" fld="3" baseField="0" baseItem="0"/>
  </dataFields>
  <formats count="24">
    <format dxfId="518">
      <pivotArea type="all" dataOnly="0" outline="0" fieldPosition="0"/>
    </format>
    <format dxfId="517">
      <pivotArea outline="0" collapsedLevelsAreSubtotals="1" fieldPosition="0"/>
    </format>
    <format dxfId="516">
      <pivotArea type="origin" dataOnly="0" labelOnly="1" outline="0" fieldPosition="0"/>
    </format>
    <format dxfId="515">
      <pivotArea field="2" type="button" dataOnly="0" labelOnly="1" outline="0" axis="axisCol" fieldPosition="0"/>
    </format>
    <format dxfId="514">
      <pivotArea type="topRight" dataOnly="0" labelOnly="1" outline="0" fieldPosition="0"/>
    </format>
    <format dxfId="513">
      <pivotArea field="0" type="button" dataOnly="0" labelOnly="1" outline="0" axis="axisRow" fieldPosition="0"/>
    </format>
    <format dxfId="512">
      <pivotArea dataOnly="0" labelOnly="1" fieldPosition="0">
        <references count="1">
          <reference field="0" count="0"/>
        </references>
      </pivotArea>
    </format>
    <format dxfId="511">
      <pivotArea dataOnly="0" labelOnly="1" fieldPosition="0">
        <references count="1">
          <reference field="2" count="0"/>
        </references>
      </pivotArea>
    </format>
    <format dxfId="510">
      <pivotArea type="all" dataOnly="0" outline="0" fieldPosition="0"/>
    </format>
    <format dxfId="509">
      <pivotArea outline="0" collapsedLevelsAreSubtotals="1" fieldPosition="0"/>
    </format>
    <format dxfId="508">
      <pivotArea type="origin" dataOnly="0" labelOnly="1" outline="0" fieldPosition="0"/>
    </format>
    <format dxfId="507">
      <pivotArea field="2" type="button" dataOnly="0" labelOnly="1" outline="0" axis="axisCol" fieldPosition="0"/>
    </format>
    <format dxfId="506">
      <pivotArea type="topRight" dataOnly="0" labelOnly="1" outline="0" fieldPosition="0"/>
    </format>
    <format dxfId="505">
      <pivotArea field="0" type="button" dataOnly="0" labelOnly="1" outline="0" axis="axisRow" fieldPosition="0"/>
    </format>
    <format dxfId="504">
      <pivotArea dataOnly="0" labelOnly="1" fieldPosition="0">
        <references count="1">
          <reference field="0" count="0"/>
        </references>
      </pivotArea>
    </format>
    <format dxfId="503">
      <pivotArea dataOnly="0" labelOnly="1" fieldPosition="0">
        <references count="1">
          <reference field="2" count="0"/>
        </references>
      </pivotArea>
    </format>
    <format dxfId="502">
      <pivotArea type="all" dataOnly="0" outline="0" fieldPosition="0"/>
    </format>
    <format dxfId="501">
      <pivotArea outline="0" collapsedLevelsAreSubtotals="1" fieldPosition="0"/>
    </format>
    <format dxfId="500">
      <pivotArea type="origin" dataOnly="0" labelOnly="1" outline="0" fieldPosition="0"/>
    </format>
    <format dxfId="499">
      <pivotArea field="2" type="button" dataOnly="0" labelOnly="1" outline="0" axis="axisCol" fieldPosition="0"/>
    </format>
    <format dxfId="498">
      <pivotArea type="topRight" dataOnly="0" labelOnly="1" outline="0" fieldPosition="0"/>
    </format>
    <format dxfId="497">
      <pivotArea field="0" type="button" dataOnly="0" labelOnly="1" outline="0" axis="axisRow" fieldPosition="0"/>
    </format>
    <format dxfId="496">
      <pivotArea dataOnly="0" labelOnly="1" fieldPosition="0">
        <references count="1">
          <reference field="0" count="0"/>
        </references>
      </pivotArea>
    </format>
    <format dxfId="495">
      <pivotArea dataOnly="0" labelOnly="1" fieldPosition="0">
        <references count="1">
          <reference field="2" count="0"/>
        </references>
      </pivotArea>
    </format>
  </formats>
  <conditionalFormats count="2">
    <conditionalFormat priority="1">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63"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4" rowHeaderCaption="State/UT">
  <location ref="A5:C15" firstHeaderRow="0" firstDataRow="1" firstDataCol="1" rowPageCount="1" colPageCount="1"/>
  <pivotFields count="6">
    <pivotField axis="axisRow" showAll="0" measureFilter="1" sortType="descending">
      <items count="37">
        <item x="27"/>
        <item x="26"/>
        <item x="25"/>
        <item x="24"/>
        <item x="23"/>
        <item x="22"/>
        <item x="21"/>
        <item x="20"/>
        <item x="19"/>
        <item x="35"/>
        <item x="18"/>
        <item x="17"/>
        <item x="16"/>
        <item x="15"/>
        <item x="14"/>
        <item x="13"/>
        <item x="12"/>
        <item x="34"/>
        <item x="33"/>
        <item x="11"/>
        <item x="10"/>
        <item x="9"/>
        <item x="32"/>
        <item x="8"/>
        <item x="7"/>
        <item x="6"/>
        <item x="5"/>
        <item x="31"/>
        <item x="30"/>
        <item x="4"/>
        <item x="29"/>
        <item x="3"/>
        <item x="2"/>
        <item x="1"/>
        <item x="0"/>
        <item x="28"/>
        <item t="default"/>
      </items>
      <autoSortScope>
        <pivotArea dataOnly="0" outline="0" fieldPosition="0">
          <references count="1">
            <reference field="4294967294" count="1" selected="0">
              <x v="0"/>
            </reference>
          </references>
        </pivotArea>
      </autoSortScope>
    </pivotField>
    <pivotField showAll="0">
      <items count="52">
        <item x="2"/>
        <item x="4"/>
        <item x="28"/>
        <item x="27"/>
        <item x="26"/>
        <item x="5"/>
        <item x="25"/>
        <item x="24"/>
        <item x="23"/>
        <item x="19"/>
        <item x="6"/>
        <item x="39"/>
        <item x="1"/>
        <item x="32"/>
        <item x="17"/>
        <item x="35"/>
        <item x="38"/>
        <item x="34"/>
        <item x="36"/>
        <item x="37"/>
        <item x="33"/>
        <item x="50"/>
        <item x="31"/>
        <item x="30"/>
        <item x="29"/>
        <item x="8"/>
        <item x="7"/>
        <item x="15"/>
        <item x="13"/>
        <item x="12"/>
        <item x="11"/>
        <item x="9"/>
        <item x="14"/>
        <item x="10"/>
        <item x="3"/>
        <item x="0"/>
        <item x="16"/>
        <item x="42"/>
        <item x="47"/>
        <item x="44"/>
        <item x="48"/>
        <item x="45"/>
        <item x="46"/>
        <item x="49"/>
        <item x="43"/>
        <item x="41"/>
        <item x="22"/>
        <item x="21"/>
        <item x="20"/>
        <item x="18"/>
        <item x="40"/>
        <item t="default"/>
      </items>
    </pivotField>
    <pivotField showAll="0">
      <items count="18">
        <item x="2"/>
        <item x="4"/>
        <item x="10"/>
        <item x="9"/>
        <item x="14"/>
        <item x="5"/>
        <item x="1"/>
        <item x="12"/>
        <item x="7"/>
        <item x="13"/>
        <item x="16"/>
        <item x="11"/>
        <item x="6"/>
        <item x="3"/>
        <item x="0"/>
        <item x="15"/>
        <item x="8"/>
        <item t="default"/>
      </items>
    </pivotField>
    <pivotField dataField="1" showAll="0"/>
    <pivotField showAll="0"/>
    <pivotField axis="axisPage" showAll="0" defaultSubtotal="0">
      <items count="2">
        <item x="1"/>
        <item x="0"/>
      </items>
    </pivotField>
  </pivotFields>
  <rowFields count="1">
    <field x="0"/>
  </rowFields>
  <rowItems count="10">
    <i>
      <x v="2"/>
    </i>
    <i>
      <x v="15"/>
    </i>
    <i>
      <x v="7"/>
    </i>
    <i>
      <x/>
    </i>
    <i>
      <x v="16"/>
    </i>
    <i>
      <x v="10"/>
    </i>
    <i>
      <x v="31"/>
    </i>
    <i>
      <x v="4"/>
    </i>
    <i>
      <x v="34"/>
    </i>
    <i>
      <x v="20"/>
    </i>
  </rowItems>
  <colFields count="1">
    <field x="-2"/>
  </colFields>
  <colItems count="2">
    <i>
      <x/>
    </i>
    <i i="1">
      <x v="1"/>
    </i>
  </colItems>
  <pageFields count="1">
    <pageField fld="5" item="1" hier="-1"/>
  </pageFields>
  <dataFields count="2">
    <dataField name="Reported Cases" fld="3" baseField="0" baseItem="33"/>
    <dataField name="Percentage of Total" fld="3" showDataAs="percentOfTotal" baseField="0" baseItem="0" numFmtId="10"/>
  </dataFields>
  <formats count="19">
    <format dxfId="537">
      <pivotArea type="all" dataOnly="0" outline="0" fieldPosition="0"/>
    </format>
    <format dxfId="536">
      <pivotArea outline="0" collapsedLevelsAreSubtotals="1" fieldPosition="0"/>
    </format>
    <format dxfId="535">
      <pivotArea field="0" type="button" dataOnly="0" labelOnly="1" outline="0" axis="axisRow" fieldPosition="0"/>
    </format>
    <format dxfId="534">
      <pivotArea dataOnly="0" labelOnly="1" outline="0" axis="axisValues" fieldPosition="0"/>
    </format>
    <format dxfId="533">
      <pivotArea dataOnly="0" labelOnly="1" fieldPosition="0">
        <references count="1">
          <reference field="0" count="10">
            <x v="0"/>
            <x v="2"/>
            <x v="4"/>
            <x v="7"/>
            <x v="10"/>
            <x v="15"/>
            <x v="16"/>
            <x v="20"/>
            <x v="31"/>
            <x v="34"/>
          </reference>
        </references>
      </pivotArea>
    </format>
    <format dxfId="532">
      <pivotArea dataOnly="0" labelOnly="1" outline="0" axis="axisValues" fieldPosition="0"/>
    </format>
    <format dxfId="531">
      <pivotArea type="all" dataOnly="0" outline="0" fieldPosition="0"/>
    </format>
    <format dxfId="530">
      <pivotArea outline="0" collapsedLevelsAreSubtotals="1" fieldPosition="0"/>
    </format>
    <format dxfId="529">
      <pivotArea field="0" type="button" dataOnly="0" labelOnly="1" outline="0" axis="axisRow" fieldPosition="0"/>
    </format>
    <format dxfId="528">
      <pivotArea dataOnly="0" labelOnly="1" outline="0" axis="axisValues" fieldPosition="0"/>
    </format>
    <format dxfId="527">
      <pivotArea dataOnly="0" labelOnly="1" fieldPosition="0">
        <references count="1">
          <reference field="0" count="10">
            <x v="0"/>
            <x v="2"/>
            <x v="4"/>
            <x v="7"/>
            <x v="10"/>
            <x v="15"/>
            <x v="16"/>
            <x v="20"/>
            <x v="31"/>
            <x v="34"/>
          </reference>
        </references>
      </pivotArea>
    </format>
    <format dxfId="526">
      <pivotArea dataOnly="0" labelOnly="1" outline="0" axis="axisValues" fieldPosition="0"/>
    </format>
    <format dxfId="525">
      <pivotArea type="all" dataOnly="0" outline="0" fieldPosition="0"/>
    </format>
    <format dxfId="524">
      <pivotArea outline="0" collapsedLevelsAreSubtotals="1" fieldPosition="0"/>
    </format>
    <format dxfId="523">
      <pivotArea field="0" type="button" dataOnly="0" labelOnly="1" outline="0" axis="axisRow" fieldPosition="0"/>
    </format>
    <format dxfId="522">
      <pivotArea dataOnly="0" labelOnly="1" outline="0" axis="axisValues" fieldPosition="0"/>
    </format>
    <format dxfId="521">
      <pivotArea dataOnly="0" labelOnly="1" fieldPosition="0">
        <references count="1">
          <reference field="0" count="10">
            <x v="0"/>
            <x v="2"/>
            <x v="4"/>
            <x v="7"/>
            <x v="10"/>
            <x v="15"/>
            <x v="16"/>
            <x v="20"/>
            <x v="31"/>
            <x v="34"/>
          </reference>
        </references>
      </pivotArea>
    </format>
    <format dxfId="520">
      <pivotArea dataOnly="0" labelOnly="1" outline="0" axis="axisValues" fieldPosition="0"/>
    </format>
    <format dxfId="519">
      <pivotArea outline="0" fieldPosition="0">
        <references count="1">
          <reference field="4294967294" count="1">
            <x v="1"/>
          </reference>
        </references>
      </pivotArea>
    </format>
  </formats>
  <chartFormats count="7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 chart="11" format="4">
      <pivotArea type="data" outline="0" fieldPosition="0">
        <references count="2">
          <reference field="4294967294" count="1" selected="0">
            <x v="0"/>
          </reference>
          <reference field="0" count="1" selected="0">
            <x v="2"/>
          </reference>
        </references>
      </pivotArea>
    </chartFormat>
    <chartFormat chart="11" format="5">
      <pivotArea type="data" outline="0" fieldPosition="0">
        <references count="2">
          <reference field="4294967294" count="1" selected="0">
            <x v="0"/>
          </reference>
          <reference field="0" count="1" selected="0">
            <x v="15"/>
          </reference>
        </references>
      </pivotArea>
    </chartFormat>
    <chartFormat chart="11" format="6">
      <pivotArea type="data" outline="0" fieldPosition="0">
        <references count="2">
          <reference field="4294967294" count="1" selected="0">
            <x v="0"/>
          </reference>
          <reference field="0" count="1" selected="0">
            <x v="7"/>
          </reference>
        </references>
      </pivotArea>
    </chartFormat>
    <chartFormat chart="11" format="7">
      <pivotArea type="data" outline="0" fieldPosition="0">
        <references count="2">
          <reference field="4294967294" count="1" selected="0">
            <x v="0"/>
          </reference>
          <reference field="0" count="1" selected="0">
            <x v="0"/>
          </reference>
        </references>
      </pivotArea>
    </chartFormat>
    <chartFormat chart="11" format="8">
      <pivotArea type="data" outline="0" fieldPosition="0">
        <references count="2">
          <reference field="4294967294" count="1" selected="0">
            <x v="0"/>
          </reference>
          <reference field="0" count="1" selected="0">
            <x v="16"/>
          </reference>
        </references>
      </pivotArea>
    </chartFormat>
    <chartFormat chart="11" format="9">
      <pivotArea type="data" outline="0" fieldPosition="0">
        <references count="2">
          <reference field="4294967294" count="1" selected="0">
            <x v="0"/>
          </reference>
          <reference field="0" count="1" selected="0">
            <x v="10"/>
          </reference>
        </references>
      </pivotArea>
    </chartFormat>
    <chartFormat chart="11" format="10">
      <pivotArea type="data" outline="0" fieldPosition="0">
        <references count="2">
          <reference field="4294967294" count="1" selected="0">
            <x v="0"/>
          </reference>
          <reference field="0" count="1" selected="0">
            <x v="31"/>
          </reference>
        </references>
      </pivotArea>
    </chartFormat>
    <chartFormat chart="11" format="11">
      <pivotArea type="data" outline="0" fieldPosition="0">
        <references count="2">
          <reference field="4294967294" count="1" selected="0">
            <x v="0"/>
          </reference>
          <reference field="0" count="1" selected="0">
            <x v="4"/>
          </reference>
        </references>
      </pivotArea>
    </chartFormat>
    <chartFormat chart="11" format="12">
      <pivotArea type="data" outline="0" fieldPosition="0">
        <references count="2">
          <reference field="4294967294" count="1" selected="0">
            <x v="0"/>
          </reference>
          <reference field="0" count="1" selected="0">
            <x v="34"/>
          </reference>
        </references>
      </pivotArea>
    </chartFormat>
    <chartFormat chart="11" format="13">
      <pivotArea type="data" outline="0" fieldPosition="0">
        <references count="2">
          <reference field="4294967294" count="1" selected="0">
            <x v="0"/>
          </reference>
          <reference field="0" count="1" selected="0">
            <x v="20"/>
          </reference>
        </references>
      </pivotArea>
    </chartFormat>
    <chartFormat chart="11" format="14">
      <pivotArea type="data" outline="0" fieldPosition="0">
        <references count="2">
          <reference field="4294967294" count="1" selected="0">
            <x v="1"/>
          </reference>
          <reference field="0" count="1" selected="0">
            <x v="2"/>
          </reference>
        </references>
      </pivotArea>
    </chartFormat>
    <chartFormat chart="11" format="15">
      <pivotArea type="data" outline="0" fieldPosition="0">
        <references count="2">
          <reference field="4294967294" count="1" selected="0">
            <x v="1"/>
          </reference>
          <reference field="0" count="1" selected="0">
            <x v="15"/>
          </reference>
        </references>
      </pivotArea>
    </chartFormat>
    <chartFormat chart="11" format="16">
      <pivotArea type="data" outline="0" fieldPosition="0">
        <references count="2">
          <reference field="4294967294" count="1" selected="0">
            <x v="1"/>
          </reference>
          <reference field="0" count="1" selected="0">
            <x v="7"/>
          </reference>
        </references>
      </pivotArea>
    </chartFormat>
    <chartFormat chart="11" format="17">
      <pivotArea type="data" outline="0" fieldPosition="0">
        <references count="2">
          <reference field="4294967294" count="1" selected="0">
            <x v="1"/>
          </reference>
          <reference field="0" count="1" selected="0">
            <x v="0"/>
          </reference>
        </references>
      </pivotArea>
    </chartFormat>
    <chartFormat chart="11" format="18">
      <pivotArea type="data" outline="0" fieldPosition="0">
        <references count="2">
          <reference field="4294967294" count="1" selected="0">
            <x v="1"/>
          </reference>
          <reference field="0" count="1" selected="0">
            <x v="16"/>
          </reference>
        </references>
      </pivotArea>
    </chartFormat>
    <chartFormat chart="11" format="19">
      <pivotArea type="data" outline="0" fieldPosition="0">
        <references count="2">
          <reference field="4294967294" count="1" selected="0">
            <x v="1"/>
          </reference>
          <reference field="0" count="1" selected="0">
            <x v="10"/>
          </reference>
        </references>
      </pivotArea>
    </chartFormat>
    <chartFormat chart="11" format="20">
      <pivotArea type="data" outline="0" fieldPosition="0">
        <references count="2">
          <reference field="4294967294" count="1" selected="0">
            <x v="1"/>
          </reference>
          <reference field="0" count="1" selected="0">
            <x v="31"/>
          </reference>
        </references>
      </pivotArea>
    </chartFormat>
    <chartFormat chart="11" format="21">
      <pivotArea type="data" outline="0" fieldPosition="0">
        <references count="2">
          <reference field="4294967294" count="1" selected="0">
            <x v="1"/>
          </reference>
          <reference field="0" count="1" selected="0">
            <x v="4"/>
          </reference>
        </references>
      </pivotArea>
    </chartFormat>
    <chartFormat chart="11" format="22">
      <pivotArea type="data" outline="0" fieldPosition="0">
        <references count="2">
          <reference field="4294967294" count="1" selected="0">
            <x v="1"/>
          </reference>
          <reference field="0" count="1" selected="0">
            <x v="34"/>
          </reference>
        </references>
      </pivotArea>
    </chartFormat>
    <chartFormat chart="11" format="23">
      <pivotArea type="data" outline="0" fieldPosition="0">
        <references count="2">
          <reference field="4294967294" count="1" selected="0">
            <x v="1"/>
          </reference>
          <reference field="0" count="1" selected="0">
            <x v="20"/>
          </reference>
        </references>
      </pivotArea>
    </chartFormat>
    <chartFormat chart="12" format="24" series="1">
      <pivotArea type="data" outline="0" fieldPosition="0">
        <references count="1">
          <reference field="4294967294" count="1" selected="0">
            <x v="0"/>
          </reference>
        </references>
      </pivotArea>
    </chartFormat>
    <chartFormat chart="12" format="25">
      <pivotArea type="data" outline="0" fieldPosition="0">
        <references count="2">
          <reference field="4294967294" count="1" selected="0">
            <x v="0"/>
          </reference>
          <reference field="0" count="1" selected="0">
            <x v="2"/>
          </reference>
        </references>
      </pivotArea>
    </chartFormat>
    <chartFormat chart="12" format="26">
      <pivotArea type="data" outline="0" fieldPosition="0">
        <references count="2">
          <reference field="4294967294" count="1" selected="0">
            <x v="0"/>
          </reference>
          <reference field="0" count="1" selected="0">
            <x v="15"/>
          </reference>
        </references>
      </pivotArea>
    </chartFormat>
    <chartFormat chart="12" format="27">
      <pivotArea type="data" outline="0" fieldPosition="0">
        <references count="2">
          <reference field="4294967294" count="1" selected="0">
            <x v="0"/>
          </reference>
          <reference field="0" count="1" selected="0">
            <x v="7"/>
          </reference>
        </references>
      </pivotArea>
    </chartFormat>
    <chartFormat chart="12" format="28">
      <pivotArea type="data" outline="0" fieldPosition="0">
        <references count="2">
          <reference field="4294967294" count="1" selected="0">
            <x v="0"/>
          </reference>
          <reference field="0" count="1" selected="0">
            <x v="0"/>
          </reference>
        </references>
      </pivotArea>
    </chartFormat>
    <chartFormat chart="12" format="29">
      <pivotArea type="data" outline="0" fieldPosition="0">
        <references count="2">
          <reference field="4294967294" count="1" selected="0">
            <x v="0"/>
          </reference>
          <reference field="0" count="1" selected="0">
            <x v="16"/>
          </reference>
        </references>
      </pivotArea>
    </chartFormat>
    <chartFormat chart="12" format="30">
      <pivotArea type="data" outline="0" fieldPosition="0">
        <references count="2">
          <reference field="4294967294" count="1" selected="0">
            <x v="0"/>
          </reference>
          <reference field="0" count="1" selected="0">
            <x v="10"/>
          </reference>
        </references>
      </pivotArea>
    </chartFormat>
    <chartFormat chart="12" format="31">
      <pivotArea type="data" outline="0" fieldPosition="0">
        <references count="2">
          <reference field="4294967294" count="1" selected="0">
            <x v="0"/>
          </reference>
          <reference field="0" count="1" selected="0">
            <x v="31"/>
          </reference>
        </references>
      </pivotArea>
    </chartFormat>
    <chartFormat chart="12" format="32">
      <pivotArea type="data" outline="0" fieldPosition="0">
        <references count="2">
          <reference field="4294967294" count="1" selected="0">
            <x v="0"/>
          </reference>
          <reference field="0" count="1" selected="0">
            <x v="4"/>
          </reference>
        </references>
      </pivotArea>
    </chartFormat>
    <chartFormat chart="12" format="33">
      <pivotArea type="data" outline="0" fieldPosition="0">
        <references count="2">
          <reference field="4294967294" count="1" selected="0">
            <x v="0"/>
          </reference>
          <reference field="0" count="1" selected="0">
            <x v="34"/>
          </reference>
        </references>
      </pivotArea>
    </chartFormat>
    <chartFormat chart="12" format="34">
      <pivotArea type="data" outline="0" fieldPosition="0">
        <references count="2">
          <reference field="4294967294" count="1" selected="0">
            <x v="0"/>
          </reference>
          <reference field="0" count="1" selected="0">
            <x v="20"/>
          </reference>
        </references>
      </pivotArea>
    </chartFormat>
    <chartFormat chart="12" format="35" series="1">
      <pivotArea type="data" outline="0" fieldPosition="0">
        <references count="1">
          <reference field="4294967294" count="1" selected="0">
            <x v="1"/>
          </reference>
        </references>
      </pivotArea>
    </chartFormat>
    <chartFormat chart="12" format="36">
      <pivotArea type="data" outline="0" fieldPosition="0">
        <references count="2">
          <reference field="4294967294" count="1" selected="0">
            <x v="1"/>
          </reference>
          <reference field="0" count="1" selected="0">
            <x v="2"/>
          </reference>
        </references>
      </pivotArea>
    </chartFormat>
    <chartFormat chart="12" format="37">
      <pivotArea type="data" outline="0" fieldPosition="0">
        <references count="2">
          <reference field="4294967294" count="1" selected="0">
            <x v="1"/>
          </reference>
          <reference field="0" count="1" selected="0">
            <x v="15"/>
          </reference>
        </references>
      </pivotArea>
    </chartFormat>
    <chartFormat chart="12" format="38">
      <pivotArea type="data" outline="0" fieldPosition="0">
        <references count="2">
          <reference field="4294967294" count="1" selected="0">
            <x v="1"/>
          </reference>
          <reference field="0" count="1" selected="0">
            <x v="7"/>
          </reference>
        </references>
      </pivotArea>
    </chartFormat>
    <chartFormat chart="12" format="39">
      <pivotArea type="data" outline="0" fieldPosition="0">
        <references count="2">
          <reference field="4294967294" count="1" selected="0">
            <x v="1"/>
          </reference>
          <reference field="0" count="1" selected="0">
            <x v="0"/>
          </reference>
        </references>
      </pivotArea>
    </chartFormat>
    <chartFormat chart="12" format="40">
      <pivotArea type="data" outline="0" fieldPosition="0">
        <references count="2">
          <reference field="4294967294" count="1" selected="0">
            <x v="1"/>
          </reference>
          <reference field="0" count="1" selected="0">
            <x v="16"/>
          </reference>
        </references>
      </pivotArea>
    </chartFormat>
    <chartFormat chart="12" format="41">
      <pivotArea type="data" outline="0" fieldPosition="0">
        <references count="2">
          <reference field="4294967294" count="1" selected="0">
            <x v="1"/>
          </reference>
          <reference field="0" count="1" selected="0">
            <x v="10"/>
          </reference>
        </references>
      </pivotArea>
    </chartFormat>
    <chartFormat chart="12" format="42">
      <pivotArea type="data" outline="0" fieldPosition="0">
        <references count="2">
          <reference field="4294967294" count="1" selected="0">
            <x v="1"/>
          </reference>
          <reference field="0" count="1" selected="0">
            <x v="31"/>
          </reference>
        </references>
      </pivotArea>
    </chartFormat>
    <chartFormat chart="12" format="43">
      <pivotArea type="data" outline="0" fieldPosition="0">
        <references count="2">
          <reference field="4294967294" count="1" selected="0">
            <x v="1"/>
          </reference>
          <reference field="0" count="1" selected="0">
            <x v="4"/>
          </reference>
        </references>
      </pivotArea>
    </chartFormat>
    <chartFormat chart="12" format="44">
      <pivotArea type="data" outline="0" fieldPosition="0">
        <references count="2">
          <reference field="4294967294" count="1" selected="0">
            <x v="1"/>
          </reference>
          <reference field="0" count="1" selected="0">
            <x v="34"/>
          </reference>
        </references>
      </pivotArea>
    </chartFormat>
    <chartFormat chart="12" format="45">
      <pivotArea type="data" outline="0" fieldPosition="0">
        <references count="2">
          <reference field="4294967294" count="1" selected="0">
            <x v="1"/>
          </reference>
          <reference field="0" count="1" selected="0">
            <x v="20"/>
          </reference>
        </references>
      </pivotArea>
    </chartFormat>
    <chartFormat chart="13" format="46" series="1">
      <pivotArea type="data" outline="0" fieldPosition="0">
        <references count="1">
          <reference field="4294967294" count="1" selected="0">
            <x v="0"/>
          </reference>
        </references>
      </pivotArea>
    </chartFormat>
    <chartFormat chart="13" format="47">
      <pivotArea type="data" outline="0" fieldPosition="0">
        <references count="2">
          <reference field="4294967294" count="1" selected="0">
            <x v="0"/>
          </reference>
          <reference field="0" count="1" selected="0">
            <x v="2"/>
          </reference>
        </references>
      </pivotArea>
    </chartFormat>
    <chartFormat chart="13" format="48">
      <pivotArea type="data" outline="0" fieldPosition="0">
        <references count="2">
          <reference field="4294967294" count="1" selected="0">
            <x v="0"/>
          </reference>
          <reference field="0" count="1" selected="0">
            <x v="15"/>
          </reference>
        </references>
      </pivotArea>
    </chartFormat>
    <chartFormat chart="13" format="49">
      <pivotArea type="data" outline="0" fieldPosition="0">
        <references count="2">
          <reference field="4294967294" count="1" selected="0">
            <x v="0"/>
          </reference>
          <reference field="0" count="1" selected="0">
            <x v="7"/>
          </reference>
        </references>
      </pivotArea>
    </chartFormat>
    <chartFormat chart="13" format="50">
      <pivotArea type="data" outline="0" fieldPosition="0">
        <references count="2">
          <reference field="4294967294" count="1" selected="0">
            <x v="0"/>
          </reference>
          <reference field="0" count="1" selected="0">
            <x v="0"/>
          </reference>
        </references>
      </pivotArea>
    </chartFormat>
    <chartFormat chart="13" format="51">
      <pivotArea type="data" outline="0" fieldPosition="0">
        <references count="2">
          <reference field="4294967294" count="1" selected="0">
            <x v="0"/>
          </reference>
          <reference field="0" count="1" selected="0">
            <x v="16"/>
          </reference>
        </references>
      </pivotArea>
    </chartFormat>
    <chartFormat chart="13" format="52">
      <pivotArea type="data" outline="0" fieldPosition="0">
        <references count="2">
          <reference field="4294967294" count="1" selected="0">
            <x v="0"/>
          </reference>
          <reference field="0" count="1" selected="0">
            <x v="10"/>
          </reference>
        </references>
      </pivotArea>
    </chartFormat>
    <chartFormat chart="13" format="53">
      <pivotArea type="data" outline="0" fieldPosition="0">
        <references count="2">
          <reference field="4294967294" count="1" selected="0">
            <x v="0"/>
          </reference>
          <reference field="0" count="1" selected="0">
            <x v="31"/>
          </reference>
        </references>
      </pivotArea>
    </chartFormat>
    <chartFormat chart="13" format="54">
      <pivotArea type="data" outline="0" fieldPosition="0">
        <references count="2">
          <reference field="4294967294" count="1" selected="0">
            <x v="0"/>
          </reference>
          <reference field="0" count="1" selected="0">
            <x v="4"/>
          </reference>
        </references>
      </pivotArea>
    </chartFormat>
    <chartFormat chart="13" format="55">
      <pivotArea type="data" outline="0" fieldPosition="0">
        <references count="2">
          <reference field="4294967294" count="1" selected="0">
            <x v="0"/>
          </reference>
          <reference field="0" count="1" selected="0">
            <x v="34"/>
          </reference>
        </references>
      </pivotArea>
    </chartFormat>
    <chartFormat chart="13" format="56">
      <pivotArea type="data" outline="0" fieldPosition="0">
        <references count="2">
          <reference field="4294967294" count="1" selected="0">
            <x v="0"/>
          </reference>
          <reference field="0" count="1" selected="0">
            <x v="20"/>
          </reference>
        </references>
      </pivotArea>
    </chartFormat>
    <chartFormat chart="13" format="57" series="1">
      <pivotArea type="data" outline="0" fieldPosition="0">
        <references count="1">
          <reference field="4294967294" count="1" selected="0">
            <x v="1"/>
          </reference>
        </references>
      </pivotArea>
    </chartFormat>
    <chartFormat chart="13" format="58">
      <pivotArea type="data" outline="0" fieldPosition="0">
        <references count="2">
          <reference field="4294967294" count="1" selected="0">
            <x v="1"/>
          </reference>
          <reference field="0" count="1" selected="0">
            <x v="2"/>
          </reference>
        </references>
      </pivotArea>
    </chartFormat>
    <chartFormat chart="13" format="59">
      <pivotArea type="data" outline="0" fieldPosition="0">
        <references count="2">
          <reference field="4294967294" count="1" selected="0">
            <x v="1"/>
          </reference>
          <reference field="0" count="1" selected="0">
            <x v="15"/>
          </reference>
        </references>
      </pivotArea>
    </chartFormat>
    <chartFormat chart="13" format="60">
      <pivotArea type="data" outline="0" fieldPosition="0">
        <references count="2">
          <reference field="4294967294" count="1" selected="0">
            <x v="1"/>
          </reference>
          <reference field="0" count="1" selected="0">
            <x v="7"/>
          </reference>
        </references>
      </pivotArea>
    </chartFormat>
    <chartFormat chart="13" format="61">
      <pivotArea type="data" outline="0" fieldPosition="0">
        <references count="2">
          <reference field="4294967294" count="1" selected="0">
            <x v="1"/>
          </reference>
          <reference field="0" count="1" selected="0">
            <x v="0"/>
          </reference>
        </references>
      </pivotArea>
    </chartFormat>
    <chartFormat chart="13" format="62">
      <pivotArea type="data" outline="0" fieldPosition="0">
        <references count="2">
          <reference field="4294967294" count="1" selected="0">
            <x v="1"/>
          </reference>
          <reference field="0" count="1" selected="0">
            <x v="16"/>
          </reference>
        </references>
      </pivotArea>
    </chartFormat>
    <chartFormat chart="13" format="63">
      <pivotArea type="data" outline="0" fieldPosition="0">
        <references count="2">
          <reference field="4294967294" count="1" selected="0">
            <x v="1"/>
          </reference>
          <reference field="0" count="1" selected="0">
            <x v="10"/>
          </reference>
        </references>
      </pivotArea>
    </chartFormat>
    <chartFormat chart="13" format="64">
      <pivotArea type="data" outline="0" fieldPosition="0">
        <references count="2">
          <reference field="4294967294" count="1" selected="0">
            <x v="1"/>
          </reference>
          <reference field="0" count="1" selected="0">
            <x v="31"/>
          </reference>
        </references>
      </pivotArea>
    </chartFormat>
    <chartFormat chart="13" format="65">
      <pivotArea type="data" outline="0" fieldPosition="0">
        <references count="2">
          <reference field="4294967294" count="1" selected="0">
            <x v="1"/>
          </reference>
          <reference field="0" count="1" selected="0">
            <x v="4"/>
          </reference>
        </references>
      </pivotArea>
    </chartFormat>
    <chartFormat chart="13" format="66">
      <pivotArea type="data" outline="0" fieldPosition="0">
        <references count="2">
          <reference field="4294967294" count="1" selected="0">
            <x v="1"/>
          </reference>
          <reference field="0" count="1" selected="0">
            <x v="34"/>
          </reference>
        </references>
      </pivotArea>
    </chartFormat>
    <chartFormat chart="13" format="67">
      <pivotArea type="data" outline="0" fieldPosition="0">
        <references count="2">
          <reference field="4294967294" count="1" selected="0">
            <x v="1"/>
          </reference>
          <reference field="0" count="1" selected="0">
            <x v="2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6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rowHeaderCaption="Crime Category">
  <location ref="E5:G22" firstHeaderRow="0" firstDataRow="1" firstDataCol="1" rowPageCount="1" colPageCount="1"/>
  <pivotFields count="6">
    <pivotField showAll="0">
      <items count="37">
        <item x="28"/>
        <item x="0"/>
        <item x="1"/>
        <item x="2"/>
        <item x="3"/>
        <item x="29"/>
        <item x="4"/>
        <item x="30"/>
        <item x="31"/>
        <item x="5"/>
        <item x="6"/>
        <item x="7"/>
        <item x="8"/>
        <item x="32"/>
        <item x="9"/>
        <item x="10"/>
        <item x="11"/>
        <item x="33"/>
        <item x="34"/>
        <item x="12"/>
        <item x="13"/>
        <item x="14"/>
        <item x="15"/>
        <item x="16"/>
        <item x="17"/>
        <item x="18"/>
        <item x="35"/>
        <item x="19"/>
        <item x="20"/>
        <item x="21"/>
        <item x="22"/>
        <item x="23"/>
        <item x="24"/>
        <item x="25"/>
        <item x="26"/>
        <item x="27"/>
        <item t="default"/>
      </items>
    </pivotField>
    <pivotField showAll="0">
      <items count="52">
        <item x="2"/>
        <item x="4"/>
        <item x="28"/>
        <item x="27"/>
        <item x="26"/>
        <item x="5"/>
        <item x="25"/>
        <item x="24"/>
        <item x="23"/>
        <item x="19"/>
        <item x="6"/>
        <item x="39"/>
        <item x="1"/>
        <item x="32"/>
        <item x="17"/>
        <item x="35"/>
        <item x="38"/>
        <item x="34"/>
        <item x="36"/>
        <item x="37"/>
        <item x="33"/>
        <item x="50"/>
        <item x="31"/>
        <item x="30"/>
        <item x="29"/>
        <item x="8"/>
        <item x="7"/>
        <item x="15"/>
        <item x="13"/>
        <item x="12"/>
        <item x="11"/>
        <item x="9"/>
        <item x="14"/>
        <item x="10"/>
        <item x="3"/>
        <item x="0"/>
        <item x="16"/>
        <item x="42"/>
        <item x="47"/>
        <item x="44"/>
        <item x="48"/>
        <item x="45"/>
        <item x="46"/>
        <item x="49"/>
        <item x="43"/>
        <item x="41"/>
        <item x="22"/>
        <item x="21"/>
        <item x="20"/>
        <item x="18"/>
        <item x="40"/>
        <item t="default"/>
      </items>
    </pivotField>
    <pivotField axis="axisRow" showAll="0" sortType="descending">
      <items count="18">
        <item x="2"/>
        <item x="4"/>
        <item x="10"/>
        <item x="9"/>
        <item x="14"/>
        <item x="5"/>
        <item x="1"/>
        <item x="12"/>
        <item x="7"/>
        <item x="13"/>
        <item x="16"/>
        <item x="11"/>
        <item x="6"/>
        <item x="3"/>
        <item x="0"/>
        <item x="15"/>
        <item x="8"/>
        <item t="default"/>
      </items>
      <autoSortScope>
        <pivotArea dataOnly="0" outline="0" fieldPosition="0">
          <references count="1">
            <reference field="4294967294" count="1" selected="0">
              <x v="0"/>
            </reference>
          </references>
        </pivotArea>
      </autoSortScope>
    </pivotField>
    <pivotField dataField="1" showAll="0"/>
    <pivotField showAll="0"/>
    <pivotField axis="axisPage" showAll="0" defaultSubtotal="0">
      <items count="2">
        <item x="1"/>
        <item x="0"/>
      </items>
    </pivotField>
  </pivotFields>
  <rowFields count="1">
    <field x="2"/>
  </rowFields>
  <rowItems count="17">
    <i>
      <x v="5"/>
    </i>
    <i>
      <x v="12"/>
    </i>
    <i>
      <x v="2"/>
    </i>
    <i>
      <x v="15"/>
    </i>
    <i>
      <x v="16"/>
    </i>
    <i>
      <x v="7"/>
    </i>
    <i>
      <x v="11"/>
    </i>
    <i>
      <x v="6"/>
    </i>
    <i>
      <x/>
    </i>
    <i>
      <x v="4"/>
    </i>
    <i>
      <x v="3"/>
    </i>
    <i>
      <x v="9"/>
    </i>
    <i>
      <x v="8"/>
    </i>
    <i>
      <x v="13"/>
    </i>
    <i>
      <x v="14"/>
    </i>
    <i>
      <x v="1"/>
    </i>
    <i>
      <x v="10"/>
    </i>
  </rowItems>
  <colFields count="1">
    <field x="-2"/>
  </colFields>
  <colItems count="2">
    <i>
      <x/>
    </i>
    <i i="1">
      <x v="1"/>
    </i>
  </colItems>
  <pageFields count="1">
    <pageField fld="5" item="1" hier="-1"/>
  </pageFields>
  <dataFields count="2">
    <dataField name="Reported Cases" fld="3" baseField="2" baseItem="12"/>
    <dataField name="Percentage of Total" fld="3" showDataAs="percentOfTotal" baseField="0" baseItem="0" numFmtId="10"/>
  </dataFields>
  <formats count="5">
    <format dxfId="542">
      <pivotArea type="all" dataOnly="0" outline="0" fieldPosition="0"/>
    </format>
    <format dxfId="541">
      <pivotArea outline="0" collapsedLevelsAreSubtotals="1" fieldPosition="0"/>
    </format>
    <format dxfId="540">
      <pivotArea field="2" type="button" dataOnly="0" labelOnly="1" outline="0" axis="axisRow" fieldPosition="0"/>
    </format>
    <format dxfId="539">
      <pivotArea dataOnly="0" labelOnly="1" fieldPosition="0">
        <references count="1">
          <reference field="2" count="0"/>
        </references>
      </pivotArea>
    </format>
    <format dxfId="538">
      <pivotArea dataOnly="0" labelOnly="1" outline="0" fieldPosition="0">
        <references count="1">
          <reference field="4294967294" count="2">
            <x v="0"/>
            <x v="1"/>
          </reference>
        </references>
      </pivotArea>
    </format>
  </formats>
  <chartFormats count="2">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5">
    <queryTableFields count="4">
      <queryTableField id="1" name="State/UT" tableColumnId="7"/>
      <queryTableField id="2" name="Attribute" tableColumnId="8"/>
      <queryTableField id="4" dataBound="0" tableColumnId="10"/>
      <queryTableField id="3" name="Value" tableColumnId="9"/>
    </queryTableFields>
  </queryTableRefresh>
</queryTable>
</file>

<file path=xl/queryTables/queryTable2.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8" unboundColumnsRight="2">
    <queryTableFields count="6">
      <queryTableField id="1" name="State/UT" tableColumnId="7"/>
      <queryTableField id="2" name="Attribute" tableColumnId="8"/>
      <queryTableField id="4" dataBound="0" tableColumnId="10"/>
      <queryTableField id="3" name="Value" tableColumnId="9"/>
      <queryTableField id="5" dataBound="0" tableColumnId="1"/>
      <queryTableField id="7" dataBound="0"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_UT" sourceName="State/UT">
  <pivotTables>
    <pivotTable tabId="9" name="PivotTable4"/>
    <pivotTable tabId="9" name="PivotTable1"/>
    <pivotTable tabId="9" name="PivotTable2"/>
  </pivotTables>
  <data>
    <tabular pivotCacheId="1">
      <items count="36">
        <i x="28" s="1"/>
        <i x="0" s="1"/>
        <i x="1" s="1"/>
        <i x="2" s="1"/>
        <i x="3" s="1"/>
        <i x="29" s="1"/>
        <i x="4" s="1"/>
        <i x="30" s="1"/>
        <i x="31" s="1"/>
        <i x="5" s="1"/>
        <i x="6" s="1"/>
        <i x="7" s="1"/>
        <i x="8" s="1"/>
        <i x="32" s="1"/>
        <i x="9" s="1"/>
        <i x="10" s="1"/>
        <i x="11" s="1"/>
        <i x="33" s="1"/>
        <i x="34" s="1"/>
        <i x="12" s="1"/>
        <i x="13" s="1"/>
        <i x="14" s="1"/>
        <i x="15" s="1"/>
        <i x="16" s="1"/>
        <i x="17" s="1"/>
        <i x="18" s="1"/>
        <i x="35" s="1"/>
        <i x="19" s="1"/>
        <i x="20" s="1"/>
        <i x="21" s="1"/>
        <i x="22" s="1"/>
        <i x="23" s="1"/>
        <i x="24" s="1"/>
        <i x="25" s="1"/>
        <i x="26" s="1"/>
        <i x="2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rime_Category" sourceName="Crime Category">
  <pivotTables>
    <pivotTable tabId="9" name="PivotTable4"/>
    <pivotTable tabId="9" name="PivotTable3"/>
    <pivotTable tabId="9" name="PivotTable1"/>
    <pivotTable tabId="9" name="PivotTable2"/>
  </pivotTables>
  <data>
    <tabular pivotCacheId="1">
      <items count="17">
        <i x="2" s="1"/>
        <i x="4" s="1"/>
        <i x="10" s="1"/>
        <i x="9" s="1"/>
        <i x="14" s="1"/>
        <i x="5" s="1"/>
        <i x="1" s="1"/>
        <i x="12" s="1"/>
        <i x="7" s="1"/>
        <i x="13" s="1"/>
        <i x="16" s="1"/>
        <i x="11" s="1"/>
        <i x="6" s="1"/>
        <i x="3" s="1"/>
        <i x="0" s="1"/>
        <i x="15"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rime_Head" sourceName="Crime Head">
  <pivotTables>
    <pivotTable tabId="9" name="PivotTable1"/>
    <pivotTable tabId="9" name="PivotTable2"/>
    <pivotTable tabId="9" name="PivotTable3"/>
    <pivotTable tabId="9" name="PivotTable4"/>
  </pivotTables>
  <data>
    <tabular pivotCacheId="1">
      <items count="51">
        <i x="2" s="1"/>
        <i x="4" s="1"/>
        <i x="26" s="1"/>
        <i x="5" s="1"/>
        <i x="23" s="1"/>
        <i x="19" s="1"/>
        <i x="6" s="1"/>
        <i x="39" s="1"/>
        <i x="1" s="1"/>
        <i x="32" s="1"/>
        <i x="17" s="1"/>
        <i x="33" s="1"/>
        <i x="50" s="1"/>
        <i x="29" s="1"/>
        <i x="7" s="1"/>
        <i x="15" s="1"/>
        <i x="14" s="1"/>
        <i x="3" s="1"/>
        <i x="0" s="1"/>
        <i x="16" s="1"/>
        <i x="43" s="1"/>
        <i x="20" s="1"/>
        <i x="18" s="1"/>
        <i x="40" s="1"/>
        <i x="28" s="1" nd="1"/>
        <i x="27" s="1" nd="1"/>
        <i x="25" s="1" nd="1"/>
        <i x="24" s="1" nd="1"/>
        <i x="35" s="1" nd="1"/>
        <i x="38" s="1" nd="1"/>
        <i x="34" s="1" nd="1"/>
        <i x="36" s="1" nd="1"/>
        <i x="37" s="1" nd="1"/>
        <i x="31" s="1" nd="1"/>
        <i x="30" s="1" nd="1"/>
        <i x="8" s="1" nd="1"/>
        <i x="13" s="1" nd="1"/>
        <i x="12" s="1" nd="1"/>
        <i x="11" s="1" nd="1"/>
        <i x="9" s="1" nd="1"/>
        <i x="10" s="1" nd="1"/>
        <i x="42" s="1" nd="1"/>
        <i x="47" s="1" nd="1"/>
        <i x="44" s="1" nd="1"/>
        <i x="48" s="1" nd="1"/>
        <i x="45" s="1" nd="1"/>
        <i x="46" s="1" nd="1"/>
        <i x="49" s="1" nd="1"/>
        <i x="41" s="1" nd="1"/>
        <i x="22" s="1" nd="1"/>
        <i x="2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UT" cache="Slicer_State_UT" caption="State/UT" startItem="6" style="SlicerStyleLight5" rowHeight="234950"/>
  <slicer name="Crime Category" cache="Slicer_Crime_Category" caption="Crime Category" style="SlicerStyleLight5" rowHeight="234950"/>
  <slicer name="Crime Head" cache="Slicer_Crime_Head" caption="Crime Head" style="SlicerStyleLight5"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3" name="Table3" displayName="Table3" ref="A1:AZ38" totalsRowShown="0" headerRowDxfId="558" tableBorderDxfId="557">
  <autoFilter ref="A1:AZ38"/>
  <tableColumns count="52">
    <tableColumn id="1" name="State/UT"/>
    <tableColumn id="2" name="Murder with Rape/Gang Rape"/>
    <tableColumn id="3" name="Dowry Deaths"/>
    <tableColumn id="4" name="Abetment to Suicide of Women"/>
    <tableColumn id="5" name="Miscarriage"/>
    <tableColumn id="6" name="Acid Attack"/>
    <tableColumn id="7" name="Attempt to Acid Attack"/>
    <tableColumn id="8" name="Cruelty by Husband/Relatives"/>
    <tableColumn id="9" name="Kidnapping &amp; Abduction (Total)"/>
    <tableColumn id="10" name="Kidnapping &amp; Abduction"/>
    <tableColumn id="11" name="Kidnapping for Murder"/>
    <tableColumn id="12" name="Kidnapping for Ransom"/>
    <tableColumn id="13" name="Kidnapping for Marriage (Total)"/>
    <tableColumn id="14" name="Kidnapping for Marriage - Women 18+"/>
    <tableColumn id="15" name="Kidnapping for Marriage - Girls &lt;18"/>
    <tableColumn id="16" name="Kidnapping for Procuration - Girls &lt; 18"/>
    <tableColumn id="17" name="Kidnapping for Importation - Girls &lt; 18"/>
    <tableColumn id="18" name="Other Kidnapping Cases"/>
    <tableColumn id="19" name="Human Trafficking"/>
    <tableColumn id="20" name="Selling of Girls &lt; 18"/>
    <tableColumn id="21" name="Buying of Girls &lt; 18"/>
    <tableColumn id="22" name="Rape (Total)"/>
    <tableColumn id="23" name="Rape - Women 18+"/>
    <tableColumn id="24" name="Rape - Girls &lt;18"/>
    <tableColumn id="25" name="Attempt to Rape (Total)"/>
    <tableColumn id="26" name="Attempt to Rape - Women 18+"/>
    <tableColumn id="27" name="Attempt to Rape - Girls &lt;18"/>
    <tableColumn id="28" name="Assault to Outrage Modesty (Total)"/>
    <tableColumn id="29" name="Assault to Outrage Modesty - Women 18+"/>
    <tableColumn id="30" name="Assault to Outrage Modesty - Girls &lt; 18"/>
    <tableColumn id="31" name="Insult to Modesty (Total)"/>
    <tableColumn id="32" name="Insult to Modesty - Women 18+"/>
    <tableColumn id="33" name="Insult to Modesty - Girls &lt;18"/>
    <tableColumn id="35" name="Dowry Prohibition Act"/>
    <tableColumn id="36" name="Immoral Traffic (Prevention) Act (Total)"/>
    <tableColumn id="37" name="Immoral Traffic (Prevention) Act - Procuring Children"/>
    <tableColumn id="38" name="Immoral Traffic (Prevention) Act - Detaining Person"/>
    <tableColumn id="39" name="Immoral Traffic (Prevention) Act - Public Prostitution"/>
    <tableColumn id="40" name="Immoral Traffic (Prevention) Act - Soliciting"/>
    <tableColumn id="41" name="Immoral Traffic (Prevention) Act - Other"/>
    <tableColumn id="42" name="Domestic Violence Act"/>
    <tableColumn id="43" name="Women-Centric Cyber Crime (Total)"/>
    <tableColumn id="44" name="Publishing Explicit Material"/>
    <tableColumn id="45" name="Other Women-Centric Cyber Crime"/>
    <tableColumn id="46" name="POCSO (Protection of Children from Sexual Offences Act) (Total)"/>
    <tableColumn id="47" name="POCSO - Child Rape"/>
    <tableColumn id="48" name="POCSO - Sexual Assault"/>
    <tableColumn id="49" name="POCSO - Sexual Harassment"/>
    <tableColumn id="50" name="POCSO - Child Pornography"/>
    <tableColumn id="51" name="POCSO - Other Offences"/>
    <tableColumn id="52" name="POCSO - Unnatural Offences"/>
    <tableColumn id="53" name="Indecent Representation of Women Act"/>
  </tableColumns>
  <tableStyleInfo name="TableStyleMedium27" showFirstColumn="0" showLastColumn="0" showRowStripes="1" showColumnStripes="0"/>
</table>
</file>

<file path=xl/tables/table2.xml><?xml version="1.0" encoding="utf-8"?>
<table xmlns="http://schemas.openxmlformats.org/spreadsheetml/2006/main" id="1" name="Table3__2" displayName="Table3__2" ref="A1:D1837" tableType="queryTable" totalsRowShown="0" headerRowDxfId="556" dataDxfId="555">
  <autoFilter ref="A1:D1837"/>
  <tableColumns count="4">
    <tableColumn id="7" uniqueName="7" name="State/UT" queryTableFieldId="1" dataDxfId="554"/>
    <tableColumn id="8" uniqueName="8" name="Crime Head" queryTableFieldId="2" dataDxfId="553"/>
    <tableColumn id="10" uniqueName="10" name="Crime Category" queryTableFieldId="4" dataDxfId="552"/>
    <tableColumn id="9" uniqueName="9" name="Cases" queryTableFieldId="3" dataDxfId="551"/>
  </tableColumns>
  <tableStyleInfo name="TableStyleLight9" showFirstColumn="0" showLastColumn="0" showRowStripes="1" showColumnStripes="0"/>
</table>
</file>

<file path=xl/tables/table3.xml><?xml version="1.0" encoding="utf-8"?>
<table xmlns="http://schemas.openxmlformats.org/spreadsheetml/2006/main" id="2" name="Table3__23" displayName="Table3__23" ref="A1:F1837" tableType="queryTable" totalsRowShown="0" headerRowDxfId="550" dataDxfId="549">
  <autoFilter ref="A1:F1837"/>
  <tableColumns count="6">
    <tableColumn id="7" uniqueName="7" name="State/UT" queryTableFieldId="1" dataDxfId="548"/>
    <tableColumn id="8" uniqueName="8" name="Crime Head" queryTableFieldId="2" dataDxfId="547"/>
    <tableColumn id="10" uniqueName="10" name="Crime Category" queryTableFieldId="4" dataDxfId="546"/>
    <tableColumn id="9" uniqueName="9" name="Cases" queryTableFieldId="3" dataDxfId="545"/>
    <tableColumn id="1" uniqueName="1" name="Record Level" queryTableFieldId="5" dataDxfId="544"/>
    <tableColumn id="3" uniqueName="3" name="Analysis Include" queryTableFieldId="7" dataDxfId="543">
      <calculatedColumnFormula>IF(E2="Standalone","Yes",IF(AND(E2="Total",OR(B2="Kidnapping &amp; Abduction (Total)",B2="Rape (Total)",B2="Attempt to Rape (Total)",B2="Assault to Outrage Modesty (Total)",B2="Insult to Modesty (Total)",B2="Immoral Traffic (Prevention) Act (Total)",B2="Women-Centric Cyber Crime (Total)",B2="POCSO (Protection of Children from Sexual Offences Act) (Total)")),"Yes","No"))</calculatedColumnFormula>
    </tableColumn>
  </tableColumns>
  <tableStyleInfo name="TableStyleLight13" showFirstColumn="0" showLastColumn="0" showRowStripes="1" showColumnStripes="0"/>
</table>
</file>

<file path=xl/tables/table4.xml><?xml version="1.0" encoding="utf-8"?>
<table xmlns="http://schemas.openxmlformats.org/spreadsheetml/2006/main" id="4" name="Table4" displayName="Table4" ref="A47:C54" totalsRowShown="0" headerRowDxfId="494" dataDxfId="493">
  <autoFilter ref="A47:C54"/>
  <tableColumns count="3">
    <tableColumn id="1" name="KPI" dataDxfId="492"/>
    <tableColumn id="2" name="Result" dataDxfId="491"/>
    <tableColumn id="4" name="Cases" dataDxfId="490"/>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3:D19" totalsRowShown="0" headerRowDxfId="489" dataDxfId="488">
  <autoFilter ref="A13:D19"/>
  <tableColumns count="4">
    <tableColumn id="1" name="#" dataDxfId="487"/>
    <tableColumn id="2" name="Finding" dataDxfId="486"/>
    <tableColumn id="3" name="Evidence" dataDxfId="485"/>
    <tableColumn id="4" name="Interpretation" dataDxfId="484"/>
  </tableColumns>
  <tableStyleInfo name="TableStyleLight13" showFirstColumn="0" showLastColumn="0" showRowStripes="1" showColumnStripes="0"/>
</table>
</file>

<file path=xl/tables/table6.xml><?xml version="1.0" encoding="utf-8"?>
<table xmlns="http://schemas.openxmlformats.org/spreadsheetml/2006/main" id="8" name="Table8" displayName="Table8" ref="A29:B36" totalsRowShown="0" headerRowDxfId="483" dataDxfId="482">
  <autoFilter ref="A29:B36"/>
  <tableColumns count="2">
    <tableColumn id="1" name="Stage" dataDxfId="481"/>
    <tableColumn id="2" name="Methods Used" dataDxfId="48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table" Target="../tables/table4.xml"/><Relationship Id="rId5" Type="http://schemas.openxmlformats.org/officeDocument/2006/relationships/printerSettings" Target="../printerSettings/printerSettings3.bin"/><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8"/>
  <sheetViews>
    <sheetView zoomScaleNormal="100" workbookViewId="0">
      <selection activeCell="B9" sqref="B9"/>
    </sheetView>
  </sheetViews>
  <sheetFormatPr defaultRowHeight="14.4" x14ac:dyDescent="0.3"/>
  <cols>
    <col min="1" max="1" width="37" bestFit="1" customWidth="1"/>
    <col min="2" max="2" width="30.88671875" bestFit="1" customWidth="1"/>
    <col min="3" max="3" width="17.109375" bestFit="1" customWidth="1"/>
    <col min="4" max="4" width="32.33203125" bestFit="1" customWidth="1"/>
    <col min="5" max="5" width="15.109375" bestFit="1" customWidth="1"/>
    <col min="6" max="6" width="15" bestFit="1" customWidth="1"/>
    <col min="7" max="7" width="22.109375" customWidth="1"/>
    <col min="8" max="8" width="27.6640625" customWidth="1"/>
    <col min="9" max="9" width="29.5546875" customWidth="1"/>
    <col min="10" max="10" width="23.5546875" customWidth="1"/>
    <col min="11" max="11" width="22.109375" customWidth="1"/>
    <col min="12" max="12" width="22.5546875" customWidth="1"/>
    <col min="13" max="13" width="29.33203125" customWidth="1"/>
    <col min="14" max="14" width="35" customWidth="1"/>
    <col min="15" max="15" width="31.88671875" customWidth="1"/>
    <col min="16" max="16" width="34.6640625" customWidth="1"/>
    <col min="17" max="17" width="34.88671875" customWidth="1"/>
    <col min="18" max="18" width="22.77734375" customWidth="1"/>
    <col min="19" max="19" width="18.33203125" customWidth="1"/>
    <col min="20" max="20" width="18.44140625" customWidth="1"/>
    <col min="21" max="21" width="18.77734375" customWidth="1"/>
    <col min="22" max="22" width="13.109375" customWidth="1"/>
    <col min="23" max="23" width="18.77734375" customWidth="1"/>
    <col min="24" max="24" width="15.6640625" customWidth="1"/>
    <col min="25" max="25" width="22.77734375" customWidth="1"/>
    <col min="26" max="26" width="28.44140625" customWidth="1"/>
    <col min="27" max="27" width="25.33203125" customWidth="1"/>
    <col min="28" max="28" width="32.21875" customWidth="1"/>
    <col min="29" max="29" width="37.88671875" customWidth="1"/>
    <col min="30" max="30" width="35.21875" customWidth="1"/>
    <col min="31" max="31" width="23.6640625" customWidth="1"/>
    <col min="32" max="32" width="29.33203125" customWidth="1"/>
    <col min="33" max="33" width="26.21875" customWidth="1"/>
    <col min="34" max="34" width="21.33203125" customWidth="1"/>
    <col min="35" max="35" width="36" customWidth="1"/>
    <col min="36" max="36" width="47.109375" customWidth="1"/>
    <col min="37" max="37" width="45.77734375" customWidth="1"/>
    <col min="38" max="38" width="47" customWidth="1"/>
    <col min="39" max="39" width="39.109375" customWidth="1"/>
    <col min="40" max="40" width="36.33203125" customWidth="1"/>
    <col min="41" max="41" width="21.5546875" customWidth="1"/>
    <col min="42" max="42" width="32.77734375" customWidth="1"/>
    <col min="43" max="43" width="25.33203125" customWidth="1"/>
    <col min="44" max="44" width="32" customWidth="1"/>
    <col min="45" max="45" width="56.5546875" customWidth="1"/>
    <col min="46" max="46" width="19.21875" customWidth="1"/>
    <col min="47" max="47" width="22.21875" customWidth="1"/>
    <col min="48" max="48" width="26.109375" customWidth="1"/>
    <col min="49" max="49" width="26" customWidth="1"/>
    <col min="50" max="50" width="23" customWidth="1"/>
    <col min="51" max="51" width="26.6640625" customWidth="1"/>
    <col min="52" max="52" width="36.109375" customWidth="1"/>
  </cols>
  <sheetData>
    <row r="1" spans="1:52" x14ac:dyDescent="0.3">
      <c r="A1" s="5" t="s">
        <v>0</v>
      </c>
      <c r="B1" s="6" t="s">
        <v>88</v>
      </c>
      <c r="C1" s="6" t="s">
        <v>38</v>
      </c>
      <c r="D1" s="6" t="s">
        <v>87</v>
      </c>
      <c r="E1" s="6" t="s">
        <v>86</v>
      </c>
      <c r="F1" s="6" t="s">
        <v>85</v>
      </c>
      <c r="G1" s="6" t="s">
        <v>84</v>
      </c>
      <c r="H1" s="6" t="s">
        <v>83</v>
      </c>
      <c r="I1" s="6" t="s">
        <v>39</v>
      </c>
      <c r="J1" s="6" t="s">
        <v>40</v>
      </c>
      <c r="K1" s="6" t="s">
        <v>41</v>
      </c>
      <c r="L1" s="6" t="s">
        <v>42</v>
      </c>
      <c r="M1" s="6" t="s">
        <v>43</v>
      </c>
      <c r="N1" s="6" t="s">
        <v>44</v>
      </c>
      <c r="O1" s="6" t="s">
        <v>45</v>
      </c>
      <c r="P1" s="6" t="s">
        <v>71</v>
      </c>
      <c r="Q1" s="6" t="s">
        <v>72</v>
      </c>
      <c r="R1" s="6" t="s">
        <v>82</v>
      </c>
      <c r="S1" s="6" t="s">
        <v>81</v>
      </c>
      <c r="T1" s="6" t="s">
        <v>73</v>
      </c>
      <c r="U1" s="6" t="s">
        <v>80</v>
      </c>
      <c r="V1" s="6" t="s">
        <v>79</v>
      </c>
      <c r="W1" s="6" t="s">
        <v>46</v>
      </c>
      <c r="X1" s="6" t="s">
        <v>47</v>
      </c>
      <c r="Y1" s="6" t="s">
        <v>48</v>
      </c>
      <c r="Z1" s="6" t="s">
        <v>49</v>
      </c>
      <c r="AA1" s="6" t="s">
        <v>50</v>
      </c>
      <c r="AB1" s="6" t="s">
        <v>51</v>
      </c>
      <c r="AC1" s="6" t="s">
        <v>52</v>
      </c>
      <c r="AD1" s="6" t="s">
        <v>53</v>
      </c>
      <c r="AE1" s="6" t="s">
        <v>54</v>
      </c>
      <c r="AF1" s="6" t="s">
        <v>55</v>
      </c>
      <c r="AG1" s="6" t="s">
        <v>56</v>
      </c>
      <c r="AH1" s="6" t="s">
        <v>74</v>
      </c>
      <c r="AI1" s="6" t="s">
        <v>57</v>
      </c>
      <c r="AJ1" s="6" t="s">
        <v>76</v>
      </c>
      <c r="AK1" s="6" t="s">
        <v>58</v>
      </c>
      <c r="AL1" s="6" t="s">
        <v>59</v>
      </c>
      <c r="AM1" s="6" t="s">
        <v>60</v>
      </c>
      <c r="AN1" s="6" t="s">
        <v>61</v>
      </c>
      <c r="AO1" s="6" t="s">
        <v>78</v>
      </c>
      <c r="AP1" s="6" t="s">
        <v>62</v>
      </c>
      <c r="AQ1" s="6" t="s">
        <v>63</v>
      </c>
      <c r="AR1" s="6" t="s">
        <v>64</v>
      </c>
      <c r="AS1" s="6" t="s">
        <v>77</v>
      </c>
      <c r="AT1" s="6" t="s">
        <v>65</v>
      </c>
      <c r="AU1" s="6" t="s">
        <v>66</v>
      </c>
      <c r="AV1" s="6" t="s">
        <v>67</v>
      </c>
      <c r="AW1" s="6" t="s">
        <v>68</v>
      </c>
      <c r="AX1" s="6" t="s">
        <v>69</v>
      </c>
      <c r="AY1" s="6" t="s">
        <v>70</v>
      </c>
      <c r="AZ1" s="6" t="s">
        <v>75</v>
      </c>
    </row>
    <row r="2" spans="1:52" x14ac:dyDescent="0.3">
      <c r="A2" s="3" t="s">
        <v>1</v>
      </c>
      <c r="B2" s="1">
        <v>5</v>
      </c>
      <c r="C2" s="1">
        <v>95</v>
      </c>
      <c r="D2" s="1">
        <v>386</v>
      </c>
      <c r="E2" s="1">
        <v>10</v>
      </c>
      <c r="F2" s="1">
        <v>3</v>
      </c>
      <c r="G2" s="1">
        <v>4</v>
      </c>
      <c r="H2" s="1">
        <v>10594</v>
      </c>
      <c r="I2" s="1">
        <v>524</v>
      </c>
      <c r="J2" s="1">
        <v>334</v>
      </c>
      <c r="K2" s="1">
        <v>1</v>
      </c>
      <c r="L2" s="1">
        <v>5</v>
      </c>
      <c r="M2" s="1">
        <v>132</v>
      </c>
      <c r="N2" s="1">
        <v>58</v>
      </c>
      <c r="O2" s="1">
        <v>74</v>
      </c>
      <c r="P2" s="1">
        <v>26</v>
      </c>
      <c r="Q2" s="1">
        <v>0</v>
      </c>
      <c r="R2" s="1">
        <v>26</v>
      </c>
      <c r="S2" s="1">
        <v>79</v>
      </c>
      <c r="T2" s="1">
        <v>0</v>
      </c>
      <c r="U2" s="1">
        <v>2</v>
      </c>
      <c r="V2" s="1">
        <v>438</v>
      </c>
      <c r="W2" s="1">
        <v>438</v>
      </c>
      <c r="X2" s="1">
        <v>0</v>
      </c>
      <c r="Y2" s="1">
        <v>112</v>
      </c>
      <c r="Z2" s="1">
        <v>96</v>
      </c>
      <c r="AA2" s="1">
        <v>16</v>
      </c>
      <c r="AB2" s="1">
        <v>4930</v>
      </c>
      <c r="AC2" s="1">
        <v>4930</v>
      </c>
      <c r="AD2" s="1">
        <v>0</v>
      </c>
      <c r="AE2" s="1">
        <v>2826</v>
      </c>
      <c r="AF2" s="1">
        <v>2826</v>
      </c>
      <c r="AG2" s="1">
        <v>0</v>
      </c>
      <c r="AH2" s="1">
        <v>353</v>
      </c>
      <c r="AI2" s="1">
        <v>68</v>
      </c>
      <c r="AJ2" s="1">
        <v>11</v>
      </c>
      <c r="AK2" s="1">
        <v>1</v>
      </c>
      <c r="AL2" s="1">
        <v>11</v>
      </c>
      <c r="AM2" s="1">
        <v>0</v>
      </c>
      <c r="AN2" s="1">
        <v>45</v>
      </c>
      <c r="AO2" s="1">
        <v>0</v>
      </c>
      <c r="AP2" s="1">
        <v>79</v>
      </c>
      <c r="AQ2" s="1">
        <v>68</v>
      </c>
      <c r="AR2" s="1">
        <v>11</v>
      </c>
      <c r="AS2" s="1">
        <v>1907</v>
      </c>
      <c r="AT2" s="1">
        <v>855</v>
      </c>
      <c r="AU2" s="1">
        <v>552</v>
      </c>
      <c r="AV2" s="1">
        <v>488</v>
      </c>
      <c r="AW2" s="1">
        <v>9</v>
      </c>
      <c r="AX2" s="1">
        <v>3</v>
      </c>
      <c r="AY2" s="1">
        <v>0</v>
      </c>
      <c r="AZ2" s="1">
        <v>3</v>
      </c>
    </row>
    <row r="3" spans="1:52" x14ac:dyDescent="0.3">
      <c r="A3" s="4" t="s">
        <v>2</v>
      </c>
      <c r="B3" s="2">
        <v>0</v>
      </c>
      <c r="C3" s="2">
        <v>1</v>
      </c>
      <c r="D3" s="2">
        <v>3</v>
      </c>
      <c r="E3" s="2">
        <v>0</v>
      </c>
      <c r="F3" s="2">
        <v>0</v>
      </c>
      <c r="G3" s="2">
        <v>0</v>
      </c>
      <c r="H3" s="2">
        <v>58</v>
      </c>
      <c r="I3" s="2">
        <v>38</v>
      </c>
      <c r="J3" s="2">
        <v>28</v>
      </c>
      <c r="K3" s="2">
        <v>0</v>
      </c>
      <c r="L3" s="2">
        <v>1</v>
      </c>
      <c r="M3" s="2">
        <v>3</v>
      </c>
      <c r="N3" s="2">
        <v>2</v>
      </c>
      <c r="O3" s="2">
        <v>1</v>
      </c>
      <c r="P3" s="2">
        <v>1</v>
      </c>
      <c r="Q3" s="2">
        <v>0</v>
      </c>
      <c r="R3" s="2">
        <v>5</v>
      </c>
      <c r="S3" s="2">
        <v>5</v>
      </c>
      <c r="T3" s="2">
        <v>0</v>
      </c>
      <c r="U3" s="2">
        <v>0</v>
      </c>
      <c r="V3" s="2">
        <v>71</v>
      </c>
      <c r="W3" s="2">
        <v>35</v>
      </c>
      <c r="X3" s="2">
        <v>36</v>
      </c>
      <c r="Y3" s="2">
        <v>5</v>
      </c>
      <c r="Z3" s="2">
        <v>3</v>
      </c>
      <c r="AA3" s="2">
        <v>2</v>
      </c>
      <c r="AB3" s="2">
        <v>74</v>
      </c>
      <c r="AC3" s="2">
        <v>69</v>
      </c>
      <c r="AD3" s="2">
        <v>5</v>
      </c>
      <c r="AE3" s="2">
        <v>16</v>
      </c>
      <c r="AF3" s="2">
        <v>16</v>
      </c>
      <c r="AG3" s="2">
        <v>0</v>
      </c>
      <c r="AH3" s="2">
        <v>0</v>
      </c>
      <c r="AI3" s="2">
        <v>0</v>
      </c>
      <c r="AJ3" s="2">
        <v>0</v>
      </c>
      <c r="AK3" s="2">
        <v>0</v>
      </c>
      <c r="AL3" s="2">
        <v>0</v>
      </c>
      <c r="AM3" s="2">
        <v>0</v>
      </c>
      <c r="AN3" s="2">
        <v>0</v>
      </c>
      <c r="AO3" s="2">
        <v>0</v>
      </c>
      <c r="AP3" s="2">
        <v>0</v>
      </c>
      <c r="AQ3" s="2">
        <v>0</v>
      </c>
      <c r="AR3" s="2">
        <v>0</v>
      </c>
      <c r="AS3" s="2">
        <v>55</v>
      </c>
      <c r="AT3" s="2">
        <v>42</v>
      </c>
      <c r="AU3" s="2">
        <v>11</v>
      </c>
      <c r="AV3" s="2">
        <v>1</v>
      </c>
      <c r="AW3" s="2">
        <v>1</v>
      </c>
      <c r="AX3" s="2">
        <v>0</v>
      </c>
      <c r="AY3" s="2">
        <v>0</v>
      </c>
      <c r="AZ3" s="2">
        <v>0</v>
      </c>
    </row>
    <row r="4" spans="1:52" x14ac:dyDescent="0.3">
      <c r="A4" s="3" t="s">
        <v>3</v>
      </c>
      <c r="B4" s="1">
        <v>13</v>
      </c>
      <c r="C4" s="1">
        <v>101</v>
      </c>
      <c r="D4" s="1">
        <v>102</v>
      </c>
      <c r="E4" s="1">
        <v>4</v>
      </c>
      <c r="F4" s="1">
        <v>4</v>
      </c>
      <c r="G4" s="1">
        <v>2</v>
      </c>
      <c r="H4" s="1">
        <v>2923</v>
      </c>
      <c r="I4" s="1">
        <v>3110</v>
      </c>
      <c r="J4" s="1">
        <v>645</v>
      </c>
      <c r="K4" s="1">
        <v>3</v>
      </c>
      <c r="L4" s="1">
        <v>15</v>
      </c>
      <c r="M4" s="1">
        <v>1371</v>
      </c>
      <c r="N4" s="1">
        <v>1000</v>
      </c>
      <c r="O4" s="1">
        <v>371</v>
      </c>
      <c r="P4" s="1">
        <v>454</v>
      </c>
      <c r="Q4" s="1">
        <v>0</v>
      </c>
      <c r="R4" s="1">
        <v>622</v>
      </c>
      <c r="S4" s="1">
        <v>81</v>
      </c>
      <c r="T4" s="1">
        <v>5</v>
      </c>
      <c r="U4" s="1">
        <v>0</v>
      </c>
      <c r="V4" s="1">
        <v>989</v>
      </c>
      <c r="W4" s="1">
        <v>988</v>
      </c>
      <c r="X4" s="1">
        <v>1</v>
      </c>
      <c r="Y4" s="1">
        <v>173</v>
      </c>
      <c r="Z4" s="1">
        <v>173</v>
      </c>
      <c r="AA4" s="1">
        <v>0</v>
      </c>
      <c r="AB4" s="1">
        <v>1595</v>
      </c>
      <c r="AC4" s="1">
        <v>1582</v>
      </c>
      <c r="AD4" s="1">
        <v>13</v>
      </c>
      <c r="AE4" s="1">
        <v>42</v>
      </c>
      <c r="AF4" s="1">
        <v>42</v>
      </c>
      <c r="AG4" s="1">
        <v>0</v>
      </c>
      <c r="AH4" s="1">
        <v>162</v>
      </c>
      <c r="AI4" s="1">
        <v>30</v>
      </c>
      <c r="AJ4" s="1">
        <v>3</v>
      </c>
      <c r="AK4" s="1">
        <v>0</v>
      </c>
      <c r="AL4" s="1">
        <v>0</v>
      </c>
      <c r="AM4" s="1">
        <v>0</v>
      </c>
      <c r="AN4" s="1">
        <v>27</v>
      </c>
      <c r="AO4" s="1">
        <v>3</v>
      </c>
      <c r="AP4" s="1">
        <v>182</v>
      </c>
      <c r="AQ4" s="1">
        <v>97</v>
      </c>
      <c r="AR4" s="1">
        <v>85</v>
      </c>
      <c r="AS4" s="1">
        <v>2549</v>
      </c>
      <c r="AT4" s="1">
        <v>1816</v>
      </c>
      <c r="AU4" s="1">
        <v>475</v>
      </c>
      <c r="AV4" s="1">
        <v>121</v>
      </c>
      <c r="AW4" s="1">
        <v>12</v>
      </c>
      <c r="AX4" s="1">
        <v>125</v>
      </c>
      <c r="AY4" s="1">
        <v>0</v>
      </c>
      <c r="AZ4" s="1">
        <v>0</v>
      </c>
    </row>
    <row r="5" spans="1:52" x14ac:dyDescent="0.3">
      <c r="A5" s="4" t="s">
        <v>4</v>
      </c>
      <c r="B5" s="2">
        <v>4</v>
      </c>
      <c r="C5" s="2">
        <v>1143</v>
      </c>
      <c r="D5" s="2">
        <v>3</v>
      </c>
      <c r="E5" s="2">
        <v>0</v>
      </c>
      <c r="F5" s="2">
        <v>5</v>
      </c>
      <c r="G5" s="2">
        <v>0</v>
      </c>
      <c r="H5" s="2">
        <v>2032</v>
      </c>
      <c r="I5" s="2">
        <v>12136</v>
      </c>
      <c r="J5" s="2">
        <v>868</v>
      </c>
      <c r="K5" s="2">
        <v>6</v>
      </c>
      <c r="L5" s="2">
        <v>2</v>
      </c>
      <c r="M5" s="2">
        <v>9467</v>
      </c>
      <c r="N5" s="2">
        <v>4534</v>
      </c>
      <c r="O5" s="2">
        <v>4933</v>
      </c>
      <c r="P5" s="2">
        <v>0</v>
      </c>
      <c r="Q5" s="2">
        <v>0</v>
      </c>
      <c r="R5" s="2">
        <v>1793</v>
      </c>
      <c r="S5" s="2">
        <v>28</v>
      </c>
      <c r="T5" s="2">
        <v>0</v>
      </c>
      <c r="U5" s="2">
        <v>0</v>
      </c>
      <c r="V5" s="2">
        <v>902</v>
      </c>
      <c r="W5" s="2">
        <v>902</v>
      </c>
      <c r="X5" s="2">
        <v>0</v>
      </c>
      <c r="Y5" s="2">
        <v>47</v>
      </c>
      <c r="Z5" s="2">
        <v>30</v>
      </c>
      <c r="AA5" s="2">
        <v>17</v>
      </c>
      <c r="AB5" s="2">
        <v>472</v>
      </c>
      <c r="AC5" s="2">
        <v>465</v>
      </c>
      <c r="AD5" s="2">
        <v>7</v>
      </c>
      <c r="AE5" s="2">
        <v>47</v>
      </c>
      <c r="AF5" s="2">
        <v>47</v>
      </c>
      <c r="AG5" s="2">
        <v>0</v>
      </c>
      <c r="AH5" s="2">
        <v>3665</v>
      </c>
      <c r="AI5" s="2">
        <v>58</v>
      </c>
      <c r="AJ5" s="2">
        <v>29</v>
      </c>
      <c r="AK5" s="2">
        <v>11</v>
      </c>
      <c r="AL5" s="2">
        <v>2</v>
      </c>
      <c r="AM5" s="2">
        <v>0</v>
      </c>
      <c r="AN5" s="2">
        <v>16</v>
      </c>
      <c r="AO5" s="2">
        <v>1</v>
      </c>
      <c r="AP5" s="2">
        <v>100</v>
      </c>
      <c r="AQ5" s="2">
        <v>20</v>
      </c>
      <c r="AR5" s="2">
        <v>80</v>
      </c>
      <c r="AS5" s="2">
        <v>2307</v>
      </c>
      <c r="AT5" s="2">
        <v>925</v>
      </c>
      <c r="AU5" s="2">
        <v>844</v>
      </c>
      <c r="AV5" s="2">
        <v>190</v>
      </c>
      <c r="AW5" s="2">
        <v>345</v>
      </c>
      <c r="AX5" s="2">
        <v>0</v>
      </c>
      <c r="AY5" s="2">
        <v>3</v>
      </c>
      <c r="AZ5" s="2">
        <v>2</v>
      </c>
    </row>
    <row r="6" spans="1:52" x14ac:dyDescent="0.3">
      <c r="A6" s="3" t="s">
        <v>5</v>
      </c>
      <c r="B6" s="1">
        <v>5</v>
      </c>
      <c r="C6" s="1">
        <v>46</v>
      </c>
      <c r="D6" s="1">
        <v>122</v>
      </c>
      <c r="E6" s="1">
        <v>5</v>
      </c>
      <c r="F6" s="1">
        <v>1</v>
      </c>
      <c r="G6" s="1">
        <v>0</v>
      </c>
      <c r="H6" s="1">
        <v>755</v>
      </c>
      <c r="I6" s="1">
        <v>2440</v>
      </c>
      <c r="J6" s="1">
        <v>2345</v>
      </c>
      <c r="K6" s="1">
        <v>0</v>
      </c>
      <c r="L6" s="1">
        <v>0</v>
      </c>
      <c r="M6" s="1">
        <v>77</v>
      </c>
      <c r="N6" s="1">
        <v>1</v>
      </c>
      <c r="O6" s="1">
        <v>76</v>
      </c>
      <c r="P6" s="1">
        <v>1</v>
      </c>
      <c r="Q6" s="1">
        <v>0</v>
      </c>
      <c r="R6" s="1">
        <v>17</v>
      </c>
      <c r="S6" s="1">
        <v>14</v>
      </c>
      <c r="T6" s="1">
        <v>0</v>
      </c>
      <c r="U6" s="1">
        <v>0</v>
      </c>
      <c r="V6" s="1">
        <v>1171</v>
      </c>
      <c r="W6" s="1">
        <v>1171</v>
      </c>
      <c r="X6" s="1">
        <v>0</v>
      </c>
      <c r="Y6" s="1">
        <v>5</v>
      </c>
      <c r="Z6" s="1">
        <v>1</v>
      </c>
      <c r="AA6" s="1">
        <v>4</v>
      </c>
      <c r="AB6" s="1">
        <v>1034</v>
      </c>
      <c r="AC6" s="1">
        <v>1032</v>
      </c>
      <c r="AD6" s="1">
        <v>2</v>
      </c>
      <c r="AE6" s="1">
        <v>241</v>
      </c>
      <c r="AF6" s="1">
        <v>239</v>
      </c>
      <c r="AG6" s="1">
        <v>2</v>
      </c>
      <c r="AH6" s="1">
        <v>8</v>
      </c>
      <c r="AI6" s="1">
        <v>12</v>
      </c>
      <c r="AJ6" s="1">
        <v>0</v>
      </c>
      <c r="AK6" s="1">
        <v>0</v>
      </c>
      <c r="AL6" s="1">
        <v>11</v>
      </c>
      <c r="AM6" s="1">
        <v>0</v>
      </c>
      <c r="AN6" s="1">
        <v>1</v>
      </c>
      <c r="AO6" s="1">
        <v>0</v>
      </c>
      <c r="AP6" s="1">
        <v>198</v>
      </c>
      <c r="AQ6" s="1">
        <v>195</v>
      </c>
      <c r="AR6" s="1">
        <v>3</v>
      </c>
      <c r="AS6" s="1">
        <v>1978</v>
      </c>
      <c r="AT6" s="1">
        <v>1503</v>
      </c>
      <c r="AU6" s="1">
        <v>441</v>
      </c>
      <c r="AV6" s="1">
        <v>25</v>
      </c>
      <c r="AW6" s="1">
        <v>6</v>
      </c>
      <c r="AX6" s="1">
        <v>2</v>
      </c>
      <c r="AY6" s="1">
        <v>1</v>
      </c>
      <c r="AZ6" s="1">
        <v>0</v>
      </c>
    </row>
    <row r="7" spans="1:52" x14ac:dyDescent="0.3">
      <c r="A7" s="4" t="s">
        <v>6</v>
      </c>
      <c r="B7" s="2">
        <v>0</v>
      </c>
      <c r="C7" s="2">
        <v>1</v>
      </c>
      <c r="D7" s="2">
        <v>3</v>
      </c>
      <c r="E7" s="2">
        <v>0</v>
      </c>
      <c r="F7" s="2">
        <v>0</v>
      </c>
      <c r="G7" s="2">
        <v>0</v>
      </c>
      <c r="H7" s="2">
        <v>0</v>
      </c>
      <c r="I7" s="2">
        <v>51</v>
      </c>
      <c r="J7" s="2">
        <v>41</v>
      </c>
      <c r="K7" s="2">
        <v>0</v>
      </c>
      <c r="L7" s="2">
        <v>0</v>
      </c>
      <c r="M7" s="2">
        <v>0</v>
      </c>
      <c r="N7" s="2">
        <v>0</v>
      </c>
      <c r="O7" s="2">
        <v>0</v>
      </c>
      <c r="P7" s="2">
        <v>0</v>
      </c>
      <c r="Q7" s="2">
        <v>0</v>
      </c>
      <c r="R7" s="2">
        <v>10</v>
      </c>
      <c r="S7" s="2">
        <v>8</v>
      </c>
      <c r="T7" s="2">
        <v>0</v>
      </c>
      <c r="U7" s="2">
        <v>0</v>
      </c>
      <c r="V7" s="2">
        <v>97</v>
      </c>
      <c r="W7" s="2">
        <v>35</v>
      </c>
      <c r="X7" s="2">
        <v>62</v>
      </c>
      <c r="Y7" s="2">
        <v>0</v>
      </c>
      <c r="Z7" s="2">
        <v>0</v>
      </c>
      <c r="AA7" s="2">
        <v>0</v>
      </c>
      <c r="AB7" s="2">
        <v>96</v>
      </c>
      <c r="AC7" s="2">
        <v>75</v>
      </c>
      <c r="AD7" s="2">
        <v>21</v>
      </c>
      <c r="AE7" s="2">
        <v>21</v>
      </c>
      <c r="AF7" s="2">
        <v>20</v>
      </c>
      <c r="AG7" s="2">
        <v>1</v>
      </c>
      <c r="AH7" s="2">
        <v>0</v>
      </c>
      <c r="AI7" s="2">
        <v>0</v>
      </c>
      <c r="AJ7" s="2">
        <v>0</v>
      </c>
      <c r="AK7" s="2">
        <v>0</v>
      </c>
      <c r="AL7" s="2">
        <v>0</v>
      </c>
      <c r="AM7" s="2">
        <v>0</v>
      </c>
      <c r="AN7" s="2">
        <v>0</v>
      </c>
      <c r="AO7" s="2">
        <v>0</v>
      </c>
      <c r="AP7" s="2">
        <v>9</v>
      </c>
      <c r="AQ7" s="2">
        <v>8</v>
      </c>
      <c r="AR7" s="2">
        <v>1</v>
      </c>
      <c r="AS7" s="2">
        <v>0</v>
      </c>
      <c r="AT7" s="2">
        <v>0</v>
      </c>
      <c r="AU7" s="2">
        <v>0</v>
      </c>
      <c r="AV7" s="2">
        <v>0</v>
      </c>
      <c r="AW7" s="2">
        <v>0</v>
      </c>
      <c r="AX7" s="2">
        <v>0</v>
      </c>
      <c r="AY7" s="2">
        <v>0</v>
      </c>
      <c r="AZ7" s="2">
        <v>0</v>
      </c>
    </row>
    <row r="8" spans="1:52" x14ac:dyDescent="0.3">
      <c r="A8" s="3" t="s">
        <v>7</v>
      </c>
      <c r="B8" s="1">
        <v>7</v>
      </c>
      <c r="C8" s="1">
        <v>12</v>
      </c>
      <c r="D8" s="1">
        <v>318</v>
      </c>
      <c r="E8" s="1">
        <v>5</v>
      </c>
      <c r="F8" s="1">
        <v>2</v>
      </c>
      <c r="G8" s="1">
        <v>1</v>
      </c>
      <c r="H8" s="1">
        <v>2176</v>
      </c>
      <c r="I8" s="1">
        <v>1257</v>
      </c>
      <c r="J8" s="1">
        <v>646</v>
      </c>
      <c r="K8" s="1">
        <v>0</v>
      </c>
      <c r="L8" s="1">
        <v>1</v>
      </c>
      <c r="M8" s="1">
        <v>567</v>
      </c>
      <c r="N8" s="1">
        <v>43</v>
      </c>
      <c r="O8" s="1">
        <v>524</v>
      </c>
      <c r="P8" s="1">
        <v>1</v>
      </c>
      <c r="Q8" s="1">
        <v>0</v>
      </c>
      <c r="R8" s="1">
        <v>42</v>
      </c>
      <c r="S8" s="1">
        <v>3</v>
      </c>
      <c r="T8" s="1">
        <v>0</v>
      </c>
      <c r="U8" s="1">
        <v>0</v>
      </c>
      <c r="V8" s="1">
        <v>634</v>
      </c>
      <c r="W8" s="1">
        <v>632</v>
      </c>
      <c r="X8" s="1">
        <v>2</v>
      </c>
      <c r="Y8" s="1">
        <v>0</v>
      </c>
      <c r="Z8" s="1">
        <v>0</v>
      </c>
      <c r="AA8" s="1">
        <v>0</v>
      </c>
      <c r="AB8" s="1">
        <v>688</v>
      </c>
      <c r="AC8" s="1">
        <v>622</v>
      </c>
      <c r="AD8" s="1">
        <v>66</v>
      </c>
      <c r="AE8" s="1">
        <v>15</v>
      </c>
      <c r="AF8" s="1">
        <v>15</v>
      </c>
      <c r="AG8" s="1">
        <v>0</v>
      </c>
      <c r="AH8" s="1">
        <v>3</v>
      </c>
      <c r="AI8" s="1">
        <v>80</v>
      </c>
      <c r="AJ8" s="1">
        <v>6</v>
      </c>
      <c r="AK8" s="1">
        <v>22</v>
      </c>
      <c r="AL8" s="1">
        <v>42</v>
      </c>
      <c r="AM8" s="1">
        <v>1</v>
      </c>
      <c r="AN8" s="1">
        <v>9</v>
      </c>
      <c r="AO8" s="1">
        <v>2</v>
      </c>
      <c r="AP8" s="1">
        <v>54</v>
      </c>
      <c r="AQ8" s="1">
        <v>45</v>
      </c>
      <c r="AR8" s="1">
        <v>9</v>
      </c>
      <c r="AS8" s="1">
        <v>2548</v>
      </c>
      <c r="AT8" s="1">
        <v>2279</v>
      </c>
      <c r="AU8" s="1">
        <v>232</v>
      </c>
      <c r="AV8" s="1">
        <v>25</v>
      </c>
      <c r="AW8" s="1">
        <v>6</v>
      </c>
      <c r="AX8" s="1">
        <v>5</v>
      </c>
      <c r="AY8" s="1">
        <v>1</v>
      </c>
      <c r="AZ8" s="1">
        <v>0</v>
      </c>
    </row>
    <row r="9" spans="1:52" x14ac:dyDescent="0.3">
      <c r="A9" s="4" t="s">
        <v>8</v>
      </c>
      <c r="B9" s="2">
        <v>9</v>
      </c>
      <c r="C9" s="2">
        <v>207</v>
      </c>
      <c r="D9" s="2">
        <v>178</v>
      </c>
      <c r="E9" s="2">
        <v>50</v>
      </c>
      <c r="F9" s="2">
        <v>3</v>
      </c>
      <c r="G9" s="2">
        <v>1</v>
      </c>
      <c r="H9" s="2">
        <v>5191</v>
      </c>
      <c r="I9" s="2">
        <v>3204</v>
      </c>
      <c r="J9" s="2">
        <v>366</v>
      </c>
      <c r="K9" s="2">
        <v>3</v>
      </c>
      <c r="L9" s="2">
        <v>0</v>
      </c>
      <c r="M9" s="2">
        <v>968</v>
      </c>
      <c r="N9" s="2">
        <v>656</v>
      </c>
      <c r="O9" s="2">
        <v>312</v>
      </c>
      <c r="P9" s="2">
        <v>788</v>
      </c>
      <c r="Q9" s="2">
        <v>0</v>
      </c>
      <c r="R9" s="2">
        <v>1079</v>
      </c>
      <c r="S9" s="2">
        <v>32</v>
      </c>
      <c r="T9" s="2">
        <v>0</v>
      </c>
      <c r="U9" s="2">
        <v>0</v>
      </c>
      <c r="V9" s="2">
        <v>1772</v>
      </c>
      <c r="W9" s="2">
        <v>1769</v>
      </c>
      <c r="X9" s="2">
        <v>3</v>
      </c>
      <c r="Y9" s="2">
        <v>199</v>
      </c>
      <c r="Z9" s="2">
        <v>199</v>
      </c>
      <c r="AA9" s="2">
        <v>0</v>
      </c>
      <c r="AB9" s="2">
        <v>2265</v>
      </c>
      <c r="AC9" s="2">
        <v>2239</v>
      </c>
      <c r="AD9" s="2">
        <v>26</v>
      </c>
      <c r="AE9" s="2">
        <v>443</v>
      </c>
      <c r="AF9" s="2">
        <v>442</v>
      </c>
      <c r="AG9" s="2">
        <v>1</v>
      </c>
      <c r="AH9" s="2">
        <v>14</v>
      </c>
      <c r="AI9" s="2">
        <v>38</v>
      </c>
      <c r="AJ9" s="2">
        <v>11</v>
      </c>
      <c r="AK9" s="2">
        <v>2</v>
      </c>
      <c r="AL9" s="2">
        <v>9</v>
      </c>
      <c r="AM9" s="2">
        <v>0</v>
      </c>
      <c r="AN9" s="2">
        <v>16</v>
      </c>
      <c r="AO9" s="2">
        <v>5</v>
      </c>
      <c r="AP9" s="2">
        <v>103</v>
      </c>
      <c r="AQ9" s="2">
        <v>96</v>
      </c>
      <c r="AR9" s="2">
        <v>7</v>
      </c>
      <c r="AS9" s="2">
        <v>2044</v>
      </c>
      <c r="AT9" s="2">
        <v>1372</v>
      </c>
      <c r="AU9" s="2">
        <v>521</v>
      </c>
      <c r="AV9" s="2">
        <v>124</v>
      </c>
      <c r="AW9" s="2">
        <v>4</v>
      </c>
      <c r="AX9" s="2">
        <v>23</v>
      </c>
      <c r="AY9" s="2">
        <v>0</v>
      </c>
      <c r="AZ9" s="2">
        <v>0</v>
      </c>
    </row>
    <row r="10" spans="1:52" x14ac:dyDescent="0.3">
      <c r="A10" s="3" t="s">
        <v>9</v>
      </c>
      <c r="B10" s="1">
        <v>6</v>
      </c>
      <c r="C10" s="1">
        <v>0</v>
      </c>
      <c r="D10" s="1">
        <v>39</v>
      </c>
      <c r="E10" s="1">
        <v>0</v>
      </c>
      <c r="F10" s="1">
        <v>0</v>
      </c>
      <c r="G10" s="1">
        <v>0</v>
      </c>
      <c r="H10" s="1">
        <v>217</v>
      </c>
      <c r="I10" s="1">
        <v>351</v>
      </c>
      <c r="J10" s="1">
        <v>200</v>
      </c>
      <c r="K10" s="1">
        <v>0</v>
      </c>
      <c r="L10" s="1">
        <v>0</v>
      </c>
      <c r="M10" s="1">
        <v>144</v>
      </c>
      <c r="N10" s="1">
        <v>13</v>
      </c>
      <c r="O10" s="1">
        <v>131</v>
      </c>
      <c r="P10" s="1">
        <v>3</v>
      </c>
      <c r="Q10" s="1">
        <v>0</v>
      </c>
      <c r="R10" s="1">
        <v>4</v>
      </c>
      <c r="S10" s="1">
        <v>5</v>
      </c>
      <c r="T10" s="1">
        <v>0</v>
      </c>
      <c r="U10" s="1">
        <v>0</v>
      </c>
      <c r="V10" s="1">
        <v>344</v>
      </c>
      <c r="W10" s="1">
        <v>138</v>
      </c>
      <c r="X10" s="1">
        <v>206</v>
      </c>
      <c r="Y10" s="1">
        <v>3</v>
      </c>
      <c r="Z10" s="1">
        <v>3</v>
      </c>
      <c r="AA10" s="1">
        <v>0</v>
      </c>
      <c r="AB10" s="1">
        <v>504</v>
      </c>
      <c r="AC10" s="1">
        <v>448</v>
      </c>
      <c r="AD10" s="1">
        <v>56</v>
      </c>
      <c r="AE10" s="1">
        <v>97</v>
      </c>
      <c r="AF10" s="1">
        <v>97</v>
      </c>
      <c r="AG10" s="1">
        <v>0</v>
      </c>
      <c r="AH10" s="1">
        <v>2</v>
      </c>
      <c r="AI10" s="1">
        <v>10</v>
      </c>
      <c r="AJ10" s="1">
        <v>6</v>
      </c>
      <c r="AK10" s="1">
        <v>0</v>
      </c>
      <c r="AL10" s="1">
        <v>0</v>
      </c>
      <c r="AM10" s="1">
        <v>0</v>
      </c>
      <c r="AN10" s="1">
        <v>4</v>
      </c>
      <c r="AO10" s="1">
        <v>2</v>
      </c>
      <c r="AP10" s="1">
        <v>21</v>
      </c>
      <c r="AQ10" s="1">
        <v>21</v>
      </c>
      <c r="AR10" s="1">
        <v>0</v>
      </c>
      <c r="AS10" s="1">
        <v>3</v>
      </c>
      <c r="AT10" s="1">
        <v>0</v>
      </c>
      <c r="AU10" s="1">
        <v>0</v>
      </c>
      <c r="AV10" s="1">
        <v>2</v>
      </c>
      <c r="AW10" s="1">
        <v>1</v>
      </c>
      <c r="AX10" s="1">
        <v>0</v>
      </c>
      <c r="AY10" s="1">
        <v>0</v>
      </c>
      <c r="AZ10" s="1">
        <v>0</v>
      </c>
    </row>
    <row r="11" spans="1:52" x14ac:dyDescent="0.3">
      <c r="A11" s="4" t="s">
        <v>10</v>
      </c>
      <c r="B11" s="2">
        <v>3</v>
      </c>
      <c r="C11" s="2">
        <v>218</v>
      </c>
      <c r="D11" s="2">
        <v>45</v>
      </c>
      <c r="E11" s="2">
        <v>3</v>
      </c>
      <c r="F11" s="2">
        <v>1</v>
      </c>
      <c r="G11" s="2">
        <v>0</v>
      </c>
      <c r="H11" s="2">
        <v>770</v>
      </c>
      <c r="I11" s="2">
        <v>1253</v>
      </c>
      <c r="J11" s="2">
        <v>93</v>
      </c>
      <c r="K11" s="2">
        <v>4</v>
      </c>
      <c r="L11" s="2">
        <v>5</v>
      </c>
      <c r="M11" s="2">
        <v>775</v>
      </c>
      <c r="N11" s="2">
        <v>620</v>
      </c>
      <c r="O11" s="2">
        <v>155</v>
      </c>
      <c r="P11" s="2">
        <v>319</v>
      </c>
      <c r="Q11" s="2">
        <v>0</v>
      </c>
      <c r="R11" s="2">
        <v>57</v>
      </c>
      <c r="S11" s="2">
        <v>37</v>
      </c>
      <c r="T11" s="2">
        <v>0</v>
      </c>
      <c r="U11" s="2">
        <v>0</v>
      </c>
      <c r="V11" s="2">
        <v>1221</v>
      </c>
      <c r="W11" s="2">
        <v>1071</v>
      </c>
      <c r="X11" s="2">
        <v>150</v>
      </c>
      <c r="Y11" s="2">
        <v>66</v>
      </c>
      <c r="Z11" s="2">
        <v>64</v>
      </c>
      <c r="AA11" s="2">
        <v>2</v>
      </c>
      <c r="AB11" s="2">
        <v>944</v>
      </c>
      <c r="AC11" s="2">
        <v>942</v>
      </c>
      <c r="AD11" s="2">
        <v>2</v>
      </c>
      <c r="AE11" s="2">
        <v>4</v>
      </c>
      <c r="AF11" s="2">
        <v>4</v>
      </c>
      <c r="AG11" s="2">
        <v>0</v>
      </c>
      <c r="AH11" s="2">
        <v>1487</v>
      </c>
      <c r="AI11" s="2">
        <v>2</v>
      </c>
      <c r="AJ11" s="2">
        <v>0</v>
      </c>
      <c r="AK11" s="2">
        <v>1</v>
      </c>
      <c r="AL11" s="2">
        <v>0</v>
      </c>
      <c r="AM11" s="2">
        <v>0</v>
      </c>
      <c r="AN11" s="2">
        <v>1</v>
      </c>
      <c r="AO11" s="2">
        <v>96</v>
      </c>
      <c r="AP11" s="2">
        <v>12</v>
      </c>
      <c r="AQ11" s="2">
        <v>12</v>
      </c>
      <c r="AR11" s="2">
        <v>0</v>
      </c>
      <c r="AS11" s="2">
        <v>827</v>
      </c>
      <c r="AT11" s="2">
        <v>657</v>
      </c>
      <c r="AU11" s="2">
        <v>93</v>
      </c>
      <c r="AV11" s="2">
        <v>69</v>
      </c>
      <c r="AW11" s="2">
        <v>7</v>
      </c>
      <c r="AX11" s="2">
        <v>1</v>
      </c>
      <c r="AY11" s="2">
        <v>0</v>
      </c>
      <c r="AZ11" s="2">
        <v>0</v>
      </c>
    </row>
    <row r="12" spans="1:52" x14ac:dyDescent="0.3">
      <c r="A12" s="3" t="s">
        <v>11</v>
      </c>
      <c r="B12" s="1">
        <v>6</v>
      </c>
      <c r="C12" s="1">
        <v>156</v>
      </c>
      <c r="D12" s="1">
        <v>274</v>
      </c>
      <c r="E12" s="1">
        <v>11</v>
      </c>
      <c r="F12" s="1">
        <v>0</v>
      </c>
      <c r="G12" s="1">
        <v>4</v>
      </c>
      <c r="H12" s="1">
        <v>3000</v>
      </c>
      <c r="I12" s="1">
        <v>2327</v>
      </c>
      <c r="J12" s="1">
        <v>2256</v>
      </c>
      <c r="K12" s="1">
        <v>1</v>
      </c>
      <c r="L12" s="1">
        <v>18</v>
      </c>
      <c r="M12" s="1">
        <v>29</v>
      </c>
      <c r="N12" s="1">
        <v>21</v>
      </c>
      <c r="O12" s="1">
        <v>8</v>
      </c>
      <c r="P12" s="1">
        <v>5</v>
      </c>
      <c r="Q12" s="1">
        <v>0</v>
      </c>
      <c r="R12" s="1">
        <v>18</v>
      </c>
      <c r="S12" s="1">
        <v>11</v>
      </c>
      <c r="T12" s="1">
        <v>0</v>
      </c>
      <c r="U12" s="1">
        <v>0</v>
      </c>
      <c r="V12" s="1">
        <v>656</v>
      </c>
      <c r="W12" s="1">
        <v>656</v>
      </c>
      <c r="X12" s="1">
        <v>0</v>
      </c>
      <c r="Y12" s="1">
        <v>10</v>
      </c>
      <c r="Z12" s="1">
        <v>9</v>
      </c>
      <c r="AA12" s="1">
        <v>1</v>
      </c>
      <c r="AB12" s="1">
        <v>6790</v>
      </c>
      <c r="AC12" s="1">
        <v>6789</v>
      </c>
      <c r="AD12" s="1">
        <v>1</v>
      </c>
      <c r="AE12" s="1">
        <v>148</v>
      </c>
      <c r="AF12" s="1">
        <v>148</v>
      </c>
      <c r="AG12" s="1">
        <v>0</v>
      </c>
      <c r="AH12" s="1">
        <v>2322</v>
      </c>
      <c r="AI12" s="1">
        <v>308</v>
      </c>
      <c r="AJ12" s="1">
        <v>106</v>
      </c>
      <c r="AK12" s="1">
        <v>94</v>
      </c>
      <c r="AL12" s="1">
        <v>37</v>
      </c>
      <c r="AM12" s="1">
        <v>3</v>
      </c>
      <c r="AN12" s="1">
        <v>68</v>
      </c>
      <c r="AO12" s="1">
        <v>0</v>
      </c>
      <c r="AP12" s="1">
        <v>458</v>
      </c>
      <c r="AQ12" s="1">
        <v>457</v>
      </c>
      <c r="AR12" s="1">
        <v>1</v>
      </c>
      <c r="AS12" s="1">
        <v>3854</v>
      </c>
      <c r="AT12" s="1">
        <v>3099</v>
      </c>
      <c r="AU12" s="1">
        <v>506</v>
      </c>
      <c r="AV12" s="1">
        <v>196</v>
      </c>
      <c r="AW12" s="1">
        <v>30</v>
      </c>
      <c r="AX12" s="1">
        <v>22</v>
      </c>
      <c r="AY12" s="1">
        <v>1</v>
      </c>
      <c r="AZ12" s="1">
        <v>1</v>
      </c>
    </row>
    <row r="13" spans="1:52" x14ac:dyDescent="0.3">
      <c r="A13" s="4" t="s">
        <v>12</v>
      </c>
      <c r="B13" s="2">
        <v>4</v>
      </c>
      <c r="C13" s="2">
        <v>8</v>
      </c>
      <c r="D13" s="2">
        <v>47</v>
      </c>
      <c r="E13" s="2">
        <v>1</v>
      </c>
      <c r="F13" s="2">
        <v>5</v>
      </c>
      <c r="G13" s="2">
        <v>4</v>
      </c>
      <c r="H13" s="2">
        <v>4710</v>
      </c>
      <c r="I13" s="2">
        <v>191</v>
      </c>
      <c r="J13" s="2">
        <v>104</v>
      </c>
      <c r="K13" s="2">
        <v>1</v>
      </c>
      <c r="L13" s="2">
        <v>0</v>
      </c>
      <c r="M13" s="2">
        <v>39</v>
      </c>
      <c r="N13" s="2">
        <v>15</v>
      </c>
      <c r="O13" s="2">
        <v>24</v>
      </c>
      <c r="P13" s="2">
        <v>2</v>
      </c>
      <c r="Q13" s="2">
        <v>0</v>
      </c>
      <c r="R13" s="2">
        <v>45</v>
      </c>
      <c r="S13" s="2">
        <v>15</v>
      </c>
      <c r="T13" s="2">
        <v>0</v>
      </c>
      <c r="U13" s="2">
        <v>0</v>
      </c>
      <c r="V13" s="2">
        <v>843</v>
      </c>
      <c r="W13" s="2">
        <v>843</v>
      </c>
      <c r="X13" s="2">
        <v>0</v>
      </c>
      <c r="Y13" s="2">
        <v>54</v>
      </c>
      <c r="Z13" s="2">
        <v>54</v>
      </c>
      <c r="AA13" s="2">
        <v>0</v>
      </c>
      <c r="AB13" s="2">
        <v>4816</v>
      </c>
      <c r="AC13" s="2">
        <v>4586</v>
      </c>
      <c r="AD13" s="2">
        <v>230</v>
      </c>
      <c r="AE13" s="2">
        <v>679</v>
      </c>
      <c r="AF13" s="2">
        <v>671</v>
      </c>
      <c r="AG13" s="2">
        <v>8</v>
      </c>
      <c r="AH13" s="2">
        <v>21</v>
      </c>
      <c r="AI13" s="2">
        <v>13</v>
      </c>
      <c r="AJ13" s="2">
        <v>0</v>
      </c>
      <c r="AK13" s="2">
        <v>1</v>
      </c>
      <c r="AL13" s="2">
        <v>3</v>
      </c>
      <c r="AM13" s="2">
        <v>1</v>
      </c>
      <c r="AN13" s="2">
        <v>8</v>
      </c>
      <c r="AO13" s="2">
        <v>480</v>
      </c>
      <c r="AP13" s="2">
        <v>369</v>
      </c>
      <c r="AQ13" s="2">
        <v>333</v>
      </c>
      <c r="AR13" s="2">
        <v>36</v>
      </c>
      <c r="AS13" s="2">
        <v>3765</v>
      </c>
      <c r="AT13" s="2">
        <v>1719</v>
      </c>
      <c r="AU13" s="2">
        <v>1529</v>
      </c>
      <c r="AV13" s="2">
        <v>469</v>
      </c>
      <c r="AW13" s="2">
        <v>34</v>
      </c>
      <c r="AX13" s="2">
        <v>14</v>
      </c>
      <c r="AY13" s="2">
        <v>0</v>
      </c>
      <c r="AZ13" s="2">
        <v>0</v>
      </c>
    </row>
    <row r="14" spans="1:52" x14ac:dyDescent="0.3">
      <c r="A14" s="3" t="s">
        <v>13</v>
      </c>
      <c r="B14" s="1">
        <v>29</v>
      </c>
      <c r="C14" s="1">
        <v>468</v>
      </c>
      <c r="D14" s="1">
        <v>716</v>
      </c>
      <c r="E14" s="1">
        <v>24</v>
      </c>
      <c r="F14" s="1">
        <v>3</v>
      </c>
      <c r="G14" s="1">
        <v>2</v>
      </c>
      <c r="H14" s="1">
        <v>7577</v>
      </c>
      <c r="I14" s="1">
        <v>8557</v>
      </c>
      <c r="J14" s="1">
        <v>6833</v>
      </c>
      <c r="K14" s="1">
        <v>1</v>
      </c>
      <c r="L14" s="1">
        <v>3</v>
      </c>
      <c r="M14" s="1">
        <v>1673</v>
      </c>
      <c r="N14" s="1">
        <v>51</v>
      </c>
      <c r="O14" s="1">
        <v>1622</v>
      </c>
      <c r="P14" s="1">
        <v>33</v>
      </c>
      <c r="Q14" s="1">
        <v>0</v>
      </c>
      <c r="R14" s="1">
        <v>14</v>
      </c>
      <c r="S14" s="1">
        <v>33</v>
      </c>
      <c r="T14" s="1">
        <v>2</v>
      </c>
      <c r="U14" s="1">
        <v>2</v>
      </c>
      <c r="V14" s="1">
        <v>2979</v>
      </c>
      <c r="W14" s="1">
        <v>2979</v>
      </c>
      <c r="X14" s="1">
        <v>0</v>
      </c>
      <c r="Y14" s="1">
        <v>38</v>
      </c>
      <c r="Z14" s="1">
        <v>23</v>
      </c>
      <c r="AA14" s="1">
        <v>15</v>
      </c>
      <c r="AB14" s="1">
        <v>5078</v>
      </c>
      <c r="AC14" s="1">
        <v>5077</v>
      </c>
      <c r="AD14" s="1">
        <v>1</v>
      </c>
      <c r="AE14" s="1">
        <v>243</v>
      </c>
      <c r="AF14" s="1">
        <v>237</v>
      </c>
      <c r="AG14" s="1">
        <v>6</v>
      </c>
      <c r="AH14" s="1">
        <v>65</v>
      </c>
      <c r="AI14" s="1">
        <v>21</v>
      </c>
      <c r="AJ14" s="1">
        <v>5</v>
      </c>
      <c r="AK14" s="1">
        <v>2</v>
      </c>
      <c r="AL14" s="1">
        <v>9</v>
      </c>
      <c r="AM14" s="1">
        <v>2</v>
      </c>
      <c r="AN14" s="1">
        <v>3</v>
      </c>
      <c r="AO14" s="1">
        <v>20</v>
      </c>
      <c r="AP14" s="1">
        <v>52</v>
      </c>
      <c r="AQ14" s="1">
        <v>38</v>
      </c>
      <c r="AR14" s="1">
        <v>14</v>
      </c>
      <c r="AS14" s="1">
        <v>6429</v>
      </c>
      <c r="AT14" s="1">
        <v>3849</v>
      </c>
      <c r="AU14" s="1">
        <v>2501</v>
      </c>
      <c r="AV14" s="1">
        <v>54</v>
      </c>
      <c r="AW14" s="1">
        <v>8</v>
      </c>
      <c r="AX14" s="1">
        <v>13</v>
      </c>
      <c r="AY14" s="1">
        <v>4</v>
      </c>
      <c r="AZ14" s="1">
        <v>4</v>
      </c>
    </row>
    <row r="15" spans="1:52" x14ac:dyDescent="0.3">
      <c r="A15" s="4" t="s">
        <v>14</v>
      </c>
      <c r="B15" s="2">
        <v>29</v>
      </c>
      <c r="C15" s="2">
        <v>170</v>
      </c>
      <c r="D15" s="2">
        <v>742</v>
      </c>
      <c r="E15" s="2">
        <v>42</v>
      </c>
      <c r="F15" s="2">
        <v>3</v>
      </c>
      <c r="G15" s="2">
        <v>5</v>
      </c>
      <c r="H15" s="2">
        <v>11226</v>
      </c>
      <c r="I15" s="2">
        <v>9361</v>
      </c>
      <c r="J15" s="2">
        <v>9147</v>
      </c>
      <c r="K15" s="2">
        <v>2</v>
      </c>
      <c r="L15" s="2">
        <v>8</v>
      </c>
      <c r="M15" s="2">
        <v>138</v>
      </c>
      <c r="N15" s="2">
        <v>47</v>
      </c>
      <c r="O15" s="2">
        <v>91</v>
      </c>
      <c r="P15" s="2">
        <v>30</v>
      </c>
      <c r="Q15" s="2">
        <v>1</v>
      </c>
      <c r="R15" s="2">
        <v>35</v>
      </c>
      <c r="S15" s="2">
        <v>314</v>
      </c>
      <c r="T15" s="2">
        <v>1</v>
      </c>
      <c r="U15" s="2">
        <v>0</v>
      </c>
      <c r="V15" s="2">
        <v>2930</v>
      </c>
      <c r="W15" s="2">
        <v>2930</v>
      </c>
      <c r="X15" s="2">
        <v>0</v>
      </c>
      <c r="Y15" s="2">
        <v>0</v>
      </c>
      <c r="Z15" s="2">
        <v>0</v>
      </c>
      <c r="AA15" s="2">
        <v>0</v>
      </c>
      <c r="AB15" s="2">
        <v>12133</v>
      </c>
      <c r="AC15" s="2">
        <v>12133</v>
      </c>
      <c r="AD15" s="2">
        <v>0</v>
      </c>
      <c r="AE15" s="2">
        <v>1309</v>
      </c>
      <c r="AF15" s="2">
        <v>1309</v>
      </c>
      <c r="AG15" s="2">
        <v>0</v>
      </c>
      <c r="AH15" s="2">
        <v>17</v>
      </c>
      <c r="AI15" s="2">
        <v>211</v>
      </c>
      <c r="AJ15" s="2">
        <v>39</v>
      </c>
      <c r="AK15" s="2">
        <v>23</v>
      </c>
      <c r="AL15" s="2">
        <v>26</v>
      </c>
      <c r="AM15" s="2">
        <v>73</v>
      </c>
      <c r="AN15" s="2">
        <v>50</v>
      </c>
      <c r="AO15" s="2">
        <v>8</v>
      </c>
      <c r="AP15" s="2">
        <v>81</v>
      </c>
      <c r="AQ15" s="2">
        <v>40</v>
      </c>
      <c r="AR15" s="2">
        <v>41</v>
      </c>
      <c r="AS15" s="2">
        <v>8519</v>
      </c>
      <c r="AT15" s="2">
        <v>4594</v>
      </c>
      <c r="AU15" s="2">
        <v>3810</v>
      </c>
      <c r="AV15" s="2">
        <v>76</v>
      </c>
      <c r="AW15" s="2">
        <v>9</v>
      </c>
      <c r="AX15" s="2">
        <v>16</v>
      </c>
      <c r="AY15" s="2">
        <v>14</v>
      </c>
      <c r="AZ15" s="2">
        <v>0</v>
      </c>
    </row>
    <row r="16" spans="1:52" x14ac:dyDescent="0.3">
      <c r="A16" s="3" t="s">
        <v>15</v>
      </c>
      <c r="B16" s="1">
        <v>1</v>
      </c>
      <c r="C16" s="1">
        <v>1</v>
      </c>
      <c r="D16" s="1">
        <v>4</v>
      </c>
      <c r="E16" s="1">
        <v>0</v>
      </c>
      <c r="F16" s="1">
        <v>0</v>
      </c>
      <c r="G16" s="1">
        <v>0</v>
      </c>
      <c r="H16" s="1">
        <v>7</v>
      </c>
      <c r="I16" s="1">
        <v>32</v>
      </c>
      <c r="J16" s="1">
        <v>2</v>
      </c>
      <c r="K16" s="1">
        <v>0</v>
      </c>
      <c r="L16" s="1">
        <v>1</v>
      </c>
      <c r="M16" s="1">
        <v>12</v>
      </c>
      <c r="N16" s="1">
        <v>7</v>
      </c>
      <c r="O16" s="1">
        <v>5</v>
      </c>
      <c r="P16" s="1">
        <v>9</v>
      </c>
      <c r="Q16" s="1">
        <v>0</v>
      </c>
      <c r="R16" s="1">
        <v>8</v>
      </c>
      <c r="S16" s="1">
        <v>0</v>
      </c>
      <c r="T16" s="1">
        <v>0</v>
      </c>
      <c r="U16" s="1">
        <v>0</v>
      </c>
      <c r="V16" s="1">
        <v>27</v>
      </c>
      <c r="W16" s="1">
        <v>27</v>
      </c>
      <c r="X16" s="1">
        <v>0</v>
      </c>
      <c r="Y16" s="1">
        <v>0</v>
      </c>
      <c r="Z16" s="1">
        <v>0</v>
      </c>
      <c r="AA16" s="1">
        <v>0</v>
      </c>
      <c r="AB16" s="1">
        <v>66</v>
      </c>
      <c r="AC16" s="1">
        <v>65</v>
      </c>
      <c r="AD16" s="1">
        <v>1</v>
      </c>
      <c r="AE16" s="1">
        <v>8</v>
      </c>
      <c r="AF16" s="1">
        <v>8</v>
      </c>
      <c r="AG16" s="1">
        <v>0</v>
      </c>
      <c r="AH16" s="1">
        <v>0</v>
      </c>
      <c r="AI16" s="1">
        <v>0</v>
      </c>
      <c r="AJ16" s="1">
        <v>0</v>
      </c>
      <c r="AK16" s="1">
        <v>0</v>
      </c>
      <c r="AL16" s="1">
        <v>0</v>
      </c>
      <c r="AM16" s="1">
        <v>0</v>
      </c>
      <c r="AN16" s="1">
        <v>0</v>
      </c>
      <c r="AO16" s="1">
        <v>0</v>
      </c>
      <c r="AP16" s="1">
        <v>0</v>
      </c>
      <c r="AQ16" s="1">
        <v>0</v>
      </c>
      <c r="AR16" s="1">
        <v>0</v>
      </c>
      <c r="AS16" s="1">
        <v>55</v>
      </c>
      <c r="AT16" s="1">
        <v>43</v>
      </c>
      <c r="AU16" s="1">
        <v>9</v>
      </c>
      <c r="AV16" s="1">
        <v>2</v>
      </c>
      <c r="AW16" s="1">
        <v>0</v>
      </c>
      <c r="AX16" s="1">
        <v>1</v>
      </c>
      <c r="AY16" s="1">
        <v>0</v>
      </c>
      <c r="AZ16" s="1">
        <v>0</v>
      </c>
    </row>
    <row r="17" spans="1:52" x14ac:dyDescent="0.3">
      <c r="A17" s="4" t="s">
        <v>16</v>
      </c>
      <c r="B17" s="2">
        <v>0</v>
      </c>
      <c r="C17" s="2">
        <v>0</v>
      </c>
      <c r="D17" s="2">
        <v>2</v>
      </c>
      <c r="E17" s="2">
        <v>1</v>
      </c>
      <c r="F17" s="2">
        <v>1</v>
      </c>
      <c r="G17" s="2">
        <v>0</v>
      </c>
      <c r="H17" s="2">
        <v>14</v>
      </c>
      <c r="I17" s="2">
        <v>54</v>
      </c>
      <c r="J17" s="2">
        <v>32</v>
      </c>
      <c r="K17" s="2">
        <v>0</v>
      </c>
      <c r="L17" s="2">
        <v>9</v>
      </c>
      <c r="M17" s="2">
        <v>6</v>
      </c>
      <c r="N17" s="2">
        <v>3</v>
      </c>
      <c r="O17" s="2">
        <v>3</v>
      </c>
      <c r="P17" s="2">
        <v>4</v>
      </c>
      <c r="Q17" s="2">
        <v>0</v>
      </c>
      <c r="R17" s="2">
        <v>3</v>
      </c>
      <c r="S17" s="2">
        <v>0</v>
      </c>
      <c r="T17" s="2">
        <v>0</v>
      </c>
      <c r="U17" s="2">
        <v>0</v>
      </c>
      <c r="V17" s="2">
        <v>66</v>
      </c>
      <c r="W17" s="2">
        <v>66</v>
      </c>
      <c r="X17" s="2">
        <v>0</v>
      </c>
      <c r="Y17" s="2">
        <v>12</v>
      </c>
      <c r="Z17" s="2">
        <v>11</v>
      </c>
      <c r="AA17" s="2">
        <v>1</v>
      </c>
      <c r="AB17" s="2">
        <v>51</v>
      </c>
      <c r="AC17" s="2">
        <v>49</v>
      </c>
      <c r="AD17" s="2">
        <v>2</v>
      </c>
      <c r="AE17" s="2">
        <v>17</v>
      </c>
      <c r="AF17" s="2">
        <v>17</v>
      </c>
      <c r="AG17" s="2">
        <v>0</v>
      </c>
      <c r="AH17" s="2">
        <v>2</v>
      </c>
      <c r="AI17" s="2">
        <v>1</v>
      </c>
      <c r="AJ17" s="2">
        <v>0</v>
      </c>
      <c r="AK17" s="2">
        <v>0</v>
      </c>
      <c r="AL17" s="2">
        <v>1</v>
      </c>
      <c r="AM17" s="2">
        <v>0</v>
      </c>
      <c r="AN17" s="2">
        <v>0</v>
      </c>
      <c r="AO17" s="2">
        <v>0</v>
      </c>
      <c r="AP17" s="2">
        <v>10</v>
      </c>
      <c r="AQ17" s="2">
        <v>9</v>
      </c>
      <c r="AR17" s="2">
        <v>1</v>
      </c>
      <c r="AS17" s="2">
        <v>397</v>
      </c>
      <c r="AT17" s="2">
        <v>322</v>
      </c>
      <c r="AU17" s="2">
        <v>53</v>
      </c>
      <c r="AV17" s="2">
        <v>7</v>
      </c>
      <c r="AW17" s="2">
        <v>8</v>
      </c>
      <c r="AX17" s="2">
        <v>7</v>
      </c>
      <c r="AY17" s="2">
        <v>0</v>
      </c>
      <c r="AZ17" s="2">
        <v>0</v>
      </c>
    </row>
    <row r="18" spans="1:52" x14ac:dyDescent="0.3">
      <c r="A18" s="3" t="s">
        <v>17</v>
      </c>
      <c r="B18" s="1">
        <v>0</v>
      </c>
      <c r="C18" s="1">
        <v>0</v>
      </c>
      <c r="D18" s="1">
        <v>0</v>
      </c>
      <c r="E18" s="1">
        <v>0</v>
      </c>
      <c r="F18" s="1">
        <v>0</v>
      </c>
      <c r="G18" s="1">
        <v>0</v>
      </c>
      <c r="H18" s="1">
        <v>5</v>
      </c>
      <c r="I18" s="1">
        <v>1</v>
      </c>
      <c r="J18" s="1">
        <v>0</v>
      </c>
      <c r="K18" s="1">
        <v>1</v>
      </c>
      <c r="L18" s="1">
        <v>0</v>
      </c>
      <c r="M18" s="1">
        <v>0</v>
      </c>
      <c r="N18" s="1">
        <v>0</v>
      </c>
      <c r="O18" s="1">
        <v>0</v>
      </c>
      <c r="P18" s="1">
        <v>0</v>
      </c>
      <c r="Q18" s="1">
        <v>0</v>
      </c>
      <c r="R18" s="1">
        <v>0</v>
      </c>
      <c r="S18" s="1">
        <v>0</v>
      </c>
      <c r="T18" s="1">
        <v>0</v>
      </c>
      <c r="U18" s="1">
        <v>0</v>
      </c>
      <c r="V18" s="1">
        <v>36</v>
      </c>
      <c r="W18" s="1">
        <v>28</v>
      </c>
      <c r="X18" s="1">
        <v>8</v>
      </c>
      <c r="Y18" s="1">
        <v>1</v>
      </c>
      <c r="Z18" s="1">
        <v>1</v>
      </c>
      <c r="AA18" s="1">
        <v>0</v>
      </c>
      <c r="AB18" s="1">
        <v>28</v>
      </c>
      <c r="AC18" s="1">
        <v>26</v>
      </c>
      <c r="AD18" s="1">
        <v>2</v>
      </c>
      <c r="AE18" s="1">
        <v>0</v>
      </c>
      <c r="AF18" s="1">
        <v>0</v>
      </c>
      <c r="AG18" s="1">
        <v>0</v>
      </c>
      <c r="AH18" s="1">
        <v>0</v>
      </c>
      <c r="AI18" s="1">
        <v>0</v>
      </c>
      <c r="AJ18" s="1">
        <v>0</v>
      </c>
      <c r="AK18" s="1">
        <v>0</v>
      </c>
      <c r="AL18" s="1">
        <v>0</v>
      </c>
      <c r="AM18" s="1">
        <v>0</v>
      </c>
      <c r="AN18" s="1">
        <v>0</v>
      </c>
      <c r="AO18" s="1">
        <v>0</v>
      </c>
      <c r="AP18" s="1">
        <v>0</v>
      </c>
      <c r="AQ18" s="1">
        <v>0</v>
      </c>
      <c r="AR18" s="1">
        <v>0</v>
      </c>
      <c r="AS18" s="1">
        <v>113</v>
      </c>
      <c r="AT18" s="1">
        <v>72</v>
      </c>
      <c r="AU18" s="1">
        <v>38</v>
      </c>
      <c r="AV18" s="1">
        <v>0</v>
      </c>
      <c r="AW18" s="1">
        <v>3</v>
      </c>
      <c r="AX18" s="1">
        <v>0</v>
      </c>
      <c r="AY18" s="1">
        <v>0</v>
      </c>
      <c r="AZ18" s="1">
        <v>0</v>
      </c>
    </row>
    <row r="19" spans="1:52" x14ac:dyDescent="0.3">
      <c r="A19" s="4" t="s">
        <v>18</v>
      </c>
      <c r="B19" s="2">
        <v>0</v>
      </c>
      <c r="C19" s="2">
        <v>0</v>
      </c>
      <c r="D19" s="2">
        <v>0</v>
      </c>
      <c r="E19" s="2">
        <v>0</v>
      </c>
      <c r="F19" s="2">
        <v>0</v>
      </c>
      <c r="G19" s="2">
        <v>0</v>
      </c>
      <c r="H19" s="2">
        <v>2</v>
      </c>
      <c r="I19" s="2">
        <v>7</v>
      </c>
      <c r="J19" s="2">
        <v>4</v>
      </c>
      <c r="K19" s="2">
        <v>0</v>
      </c>
      <c r="L19" s="2">
        <v>1</v>
      </c>
      <c r="M19" s="2">
        <v>0</v>
      </c>
      <c r="N19" s="2">
        <v>0</v>
      </c>
      <c r="O19" s="2">
        <v>0</v>
      </c>
      <c r="P19" s="2">
        <v>0</v>
      </c>
      <c r="Q19" s="2">
        <v>0</v>
      </c>
      <c r="R19" s="2">
        <v>2</v>
      </c>
      <c r="S19" s="2">
        <v>0</v>
      </c>
      <c r="T19" s="2">
        <v>0</v>
      </c>
      <c r="U19" s="2">
        <v>0</v>
      </c>
      <c r="V19" s="2">
        <v>10</v>
      </c>
      <c r="W19" s="2">
        <v>7</v>
      </c>
      <c r="X19" s="2">
        <v>3</v>
      </c>
      <c r="Y19" s="2">
        <v>3</v>
      </c>
      <c r="Z19" s="2">
        <v>2</v>
      </c>
      <c r="AA19" s="2">
        <v>1</v>
      </c>
      <c r="AB19" s="2">
        <v>14</v>
      </c>
      <c r="AC19" s="2">
        <v>12</v>
      </c>
      <c r="AD19" s="2">
        <v>2</v>
      </c>
      <c r="AE19" s="2">
        <v>1</v>
      </c>
      <c r="AF19" s="2">
        <v>1</v>
      </c>
      <c r="AG19" s="2">
        <v>0</v>
      </c>
      <c r="AH19" s="2">
        <v>0</v>
      </c>
      <c r="AI19" s="2">
        <v>1</v>
      </c>
      <c r="AJ19" s="2">
        <v>0</v>
      </c>
      <c r="AK19" s="2">
        <v>0</v>
      </c>
      <c r="AL19" s="2">
        <v>0</v>
      </c>
      <c r="AM19" s="2">
        <v>0</v>
      </c>
      <c r="AN19" s="2">
        <v>1</v>
      </c>
      <c r="AO19" s="2">
        <v>2</v>
      </c>
      <c r="AP19" s="2">
        <v>1</v>
      </c>
      <c r="AQ19" s="2">
        <v>1</v>
      </c>
      <c r="AR19" s="2">
        <v>0</v>
      </c>
      <c r="AS19" s="2">
        <v>15</v>
      </c>
      <c r="AT19" s="2">
        <v>6</v>
      </c>
      <c r="AU19" s="2">
        <v>9</v>
      </c>
      <c r="AV19" s="2">
        <v>0</v>
      </c>
      <c r="AW19" s="2">
        <v>0</v>
      </c>
      <c r="AX19" s="2">
        <v>0</v>
      </c>
      <c r="AY19" s="2">
        <v>0</v>
      </c>
      <c r="AZ19" s="2">
        <v>0</v>
      </c>
    </row>
    <row r="20" spans="1:52" x14ac:dyDescent="0.3">
      <c r="A20" s="3" t="s">
        <v>19</v>
      </c>
      <c r="B20" s="1">
        <v>15</v>
      </c>
      <c r="C20" s="1">
        <v>231</v>
      </c>
      <c r="D20" s="1">
        <v>0</v>
      </c>
      <c r="E20" s="1">
        <v>0</v>
      </c>
      <c r="F20" s="1">
        <v>5</v>
      </c>
      <c r="G20" s="1">
        <v>2</v>
      </c>
      <c r="H20" s="1">
        <v>5534</v>
      </c>
      <c r="I20" s="1">
        <v>5611</v>
      </c>
      <c r="J20" s="1">
        <v>5400</v>
      </c>
      <c r="K20" s="1">
        <v>1</v>
      </c>
      <c r="L20" s="1">
        <v>8</v>
      </c>
      <c r="M20" s="1">
        <v>64</v>
      </c>
      <c r="N20" s="1">
        <v>4</v>
      </c>
      <c r="O20" s="1">
        <v>60</v>
      </c>
      <c r="P20" s="1">
        <v>8</v>
      </c>
      <c r="Q20" s="1">
        <v>0</v>
      </c>
      <c r="R20" s="1">
        <v>130</v>
      </c>
      <c r="S20" s="1">
        <v>105</v>
      </c>
      <c r="T20" s="1">
        <v>0</v>
      </c>
      <c r="U20" s="1">
        <v>0</v>
      </c>
      <c r="V20" s="1">
        <v>1195</v>
      </c>
      <c r="W20" s="1">
        <v>1193</v>
      </c>
      <c r="X20" s="1">
        <v>2</v>
      </c>
      <c r="Y20" s="1">
        <v>123</v>
      </c>
      <c r="Z20" s="1">
        <v>123</v>
      </c>
      <c r="AA20" s="1">
        <v>0</v>
      </c>
      <c r="AB20" s="1">
        <v>9367</v>
      </c>
      <c r="AC20" s="1">
        <v>9365</v>
      </c>
      <c r="AD20" s="1">
        <v>2</v>
      </c>
      <c r="AE20" s="1">
        <v>569</v>
      </c>
      <c r="AF20" s="1">
        <v>569</v>
      </c>
      <c r="AG20" s="1">
        <v>0</v>
      </c>
      <c r="AH20" s="1">
        <v>5</v>
      </c>
      <c r="AI20" s="1">
        <v>15</v>
      </c>
      <c r="AJ20" s="1">
        <v>3</v>
      </c>
      <c r="AK20" s="1">
        <v>0</v>
      </c>
      <c r="AL20" s="1">
        <v>0</v>
      </c>
      <c r="AM20" s="1">
        <v>7</v>
      </c>
      <c r="AN20" s="1">
        <v>5</v>
      </c>
      <c r="AO20" s="1">
        <v>0</v>
      </c>
      <c r="AP20" s="1">
        <v>761</v>
      </c>
      <c r="AQ20" s="1">
        <v>358</v>
      </c>
      <c r="AR20" s="1">
        <v>403</v>
      </c>
      <c r="AS20" s="1">
        <v>2368</v>
      </c>
      <c r="AT20" s="1">
        <v>1631</v>
      </c>
      <c r="AU20" s="1">
        <v>701</v>
      </c>
      <c r="AV20" s="1">
        <v>1</v>
      </c>
      <c r="AW20" s="1">
        <v>30</v>
      </c>
      <c r="AX20" s="1">
        <v>5</v>
      </c>
      <c r="AY20" s="1">
        <v>0</v>
      </c>
      <c r="AZ20" s="1">
        <v>8</v>
      </c>
    </row>
    <row r="21" spans="1:52" x14ac:dyDescent="0.3">
      <c r="A21" s="4" t="s">
        <v>20</v>
      </c>
      <c r="B21" s="2">
        <v>6</v>
      </c>
      <c r="C21" s="2">
        <v>44</v>
      </c>
      <c r="D21" s="2">
        <v>198</v>
      </c>
      <c r="E21" s="2">
        <v>7</v>
      </c>
      <c r="F21" s="2">
        <v>3</v>
      </c>
      <c r="G21" s="2">
        <v>0</v>
      </c>
      <c r="H21" s="2">
        <v>1532</v>
      </c>
      <c r="I21" s="2">
        <v>1430</v>
      </c>
      <c r="J21" s="2">
        <v>12</v>
      </c>
      <c r="K21" s="2">
        <v>1</v>
      </c>
      <c r="L21" s="2">
        <v>0</v>
      </c>
      <c r="M21" s="2">
        <v>1383</v>
      </c>
      <c r="N21" s="2">
        <v>105</v>
      </c>
      <c r="O21" s="2">
        <v>1278</v>
      </c>
      <c r="P21" s="2">
        <v>0</v>
      </c>
      <c r="Q21" s="2">
        <v>0</v>
      </c>
      <c r="R21" s="2">
        <v>34</v>
      </c>
      <c r="S21" s="2">
        <v>20</v>
      </c>
      <c r="T21" s="2">
        <v>0</v>
      </c>
      <c r="U21" s="2">
        <v>0</v>
      </c>
      <c r="V21" s="2">
        <v>457</v>
      </c>
      <c r="W21" s="2">
        <v>457</v>
      </c>
      <c r="X21" s="2">
        <v>0</v>
      </c>
      <c r="Y21" s="2">
        <v>23</v>
      </c>
      <c r="Z21" s="2">
        <v>13</v>
      </c>
      <c r="AA21" s="2">
        <v>10</v>
      </c>
      <c r="AB21" s="2">
        <v>656</v>
      </c>
      <c r="AC21" s="2">
        <v>618</v>
      </c>
      <c r="AD21" s="2">
        <v>38</v>
      </c>
      <c r="AE21" s="2">
        <v>20</v>
      </c>
      <c r="AF21" s="2">
        <v>20</v>
      </c>
      <c r="AG21" s="2">
        <v>0</v>
      </c>
      <c r="AH21" s="2">
        <v>4</v>
      </c>
      <c r="AI21" s="2">
        <v>39</v>
      </c>
      <c r="AJ21" s="2">
        <v>2</v>
      </c>
      <c r="AK21" s="2">
        <v>0</v>
      </c>
      <c r="AL21" s="2">
        <v>4</v>
      </c>
      <c r="AM21" s="2">
        <v>2</v>
      </c>
      <c r="AN21" s="2">
        <v>31</v>
      </c>
      <c r="AO21" s="2">
        <v>0</v>
      </c>
      <c r="AP21" s="2">
        <v>37</v>
      </c>
      <c r="AQ21" s="2">
        <v>27</v>
      </c>
      <c r="AR21" s="2">
        <v>10</v>
      </c>
      <c r="AS21" s="2">
        <v>782</v>
      </c>
      <c r="AT21" s="2">
        <v>616</v>
      </c>
      <c r="AU21" s="2">
        <v>152</v>
      </c>
      <c r="AV21" s="2">
        <v>2</v>
      </c>
      <c r="AW21" s="2">
        <v>11</v>
      </c>
      <c r="AX21" s="2">
        <v>1</v>
      </c>
      <c r="AY21" s="2">
        <v>0</v>
      </c>
      <c r="AZ21" s="2">
        <v>0</v>
      </c>
    </row>
    <row r="22" spans="1:52" x14ac:dyDescent="0.3">
      <c r="A22" s="3" t="s">
        <v>21</v>
      </c>
      <c r="B22" s="1">
        <v>20</v>
      </c>
      <c r="C22" s="1">
        <v>428</v>
      </c>
      <c r="D22" s="1">
        <v>165</v>
      </c>
      <c r="E22" s="1">
        <v>4</v>
      </c>
      <c r="F22" s="1">
        <v>4</v>
      </c>
      <c r="G22" s="1">
        <v>1</v>
      </c>
      <c r="H22" s="1">
        <v>18033</v>
      </c>
      <c r="I22" s="1">
        <v>7522</v>
      </c>
      <c r="J22" s="1">
        <v>4528</v>
      </c>
      <c r="K22" s="1">
        <v>0</v>
      </c>
      <c r="L22" s="1">
        <v>11</v>
      </c>
      <c r="M22" s="1">
        <v>1546</v>
      </c>
      <c r="N22" s="1">
        <v>884</v>
      </c>
      <c r="O22" s="1">
        <v>662</v>
      </c>
      <c r="P22" s="1">
        <v>10</v>
      </c>
      <c r="Q22" s="1">
        <v>0</v>
      </c>
      <c r="R22" s="1">
        <v>1427</v>
      </c>
      <c r="S22" s="1">
        <v>8</v>
      </c>
      <c r="T22" s="1">
        <v>0</v>
      </c>
      <c r="U22" s="1">
        <v>0</v>
      </c>
      <c r="V22" s="1">
        <v>5078</v>
      </c>
      <c r="W22" s="1">
        <v>5078</v>
      </c>
      <c r="X22" s="1">
        <v>0</v>
      </c>
      <c r="Y22" s="1">
        <v>845</v>
      </c>
      <c r="Z22" s="1">
        <v>845</v>
      </c>
      <c r="AA22" s="1">
        <v>0</v>
      </c>
      <c r="AB22" s="1">
        <v>9456</v>
      </c>
      <c r="AC22" s="1">
        <v>9456</v>
      </c>
      <c r="AD22" s="1">
        <v>0</v>
      </c>
      <c r="AE22" s="1">
        <v>81</v>
      </c>
      <c r="AF22" s="1">
        <v>81</v>
      </c>
      <c r="AG22" s="1">
        <v>0</v>
      </c>
      <c r="AH22" s="1">
        <v>1</v>
      </c>
      <c r="AI22" s="1">
        <v>16</v>
      </c>
      <c r="AJ22" s="1">
        <v>6</v>
      </c>
      <c r="AK22" s="1">
        <v>0</v>
      </c>
      <c r="AL22" s="1">
        <v>3</v>
      </c>
      <c r="AM22" s="1">
        <v>0</v>
      </c>
      <c r="AN22" s="1">
        <v>7</v>
      </c>
      <c r="AO22" s="1">
        <v>1</v>
      </c>
      <c r="AP22" s="1">
        <v>225</v>
      </c>
      <c r="AQ22" s="1">
        <v>212</v>
      </c>
      <c r="AR22" s="1">
        <v>13</v>
      </c>
      <c r="AS22" s="1">
        <v>3556</v>
      </c>
      <c r="AT22" s="1">
        <v>1865</v>
      </c>
      <c r="AU22" s="1">
        <v>1372</v>
      </c>
      <c r="AV22" s="1">
        <v>67</v>
      </c>
      <c r="AW22" s="1">
        <v>68</v>
      </c>
      <c r="AX22" s="1">
        <v>183</v>
      </c>
      <c r="AY22" s="1">
        <v>1</v>
      </c>
      <c r="AZ22" s="1">
        <v>6</v>
      </c>
    </row>
    <row r="23" spans="1:52" x14ac:dyDescent="0.3">
      <c r="A23" s="4" t="s">
        <v>22</v>
      </c>
      <c r="B23" s="2">
        <v>1</v>
      </c>
      <c r="C23" s="2">
        <v>0</v>
      </c>
      <c r="D23" s="2">
        <v>2</v>
      </c>
      <c r="E23" s="2">
        <v>0</v>
      </c>
      <c r="F23" s="2">
        <v>0</v>
      </c>
      <c r="G23" s="2">
        <v>0</v>
      </c>
      <c r="H23" s="2">
        <v>1</v>
      </c>
      <c r="I23" s="2">
        <v>15</v>
      </c>
      <c r="J23" s="2">
        <v>14</v>
      </c>
      <c r="K23" s="2">
        <v>0</v>
      </c>
      <c r="L23" s="2">
        <v>0</v>
      </c>
      <c r="M23" s="2">
        <v>1</v>
      </c>
      <c r="N23" s="2">
        <v>0</v>
      </c>
      <c r="O23" s="2">
        <v>1</v>
      </c>
      <c r="P23" s="2">
        <v>0</v>
      </c>
      <c r="Q23" s="2">
        <v>0</v>
      </c>
      <c r="R23" s="2">
        <v>0</v>
      </c>
      <c r="S23" s="2">
        <v>0</v>
      </c>
      <c r="T23" s="2">
        <v>0</v>
      </c>
      <c r="U23" s="2">
        <v>0</v>
      </c>
      <c r="V23" s="2">
        <v>9</v>
      </c>
      <c r="W23" s="2">
        <v>9</v>
      </c>
      <c r="X23" s="2">
        <v>0</v>
      </c>
      <c r="Y23" s="2">
        <v>0</v>
      </c>
      <c r="Z23" s="2">
        <v>0</v>
      </c>
      <c r="AA23" s="2">
        <v>0</v>
      </c>
      <c r="AB23" s="2">
        <v>16</v>
      </c>
      <c r="AC23" s="2">
        <v>16</v>
      </c>
      <c r="AD23" s="2">
        <v>0</v>
      </c>
      <c r="AE23" s="2">
        <v>0</v>
      </c>
      <c r="AF23" s="2">
        <v>0</v>
      </c>
      <c r="AG23" s="2">
        <v>0</v>
      </c>
      <c r="AH23" s="2">
        <v>0</v>
      </c>
      <c r="AI23" s="2">
        <v>0</v>
      </c>
      <c r="AJ23" s="2">
        <v>0</v>
      </c>
      <c r="AK23" s="2">
        <v>0</v>
      </c>
      <c r="AL23" s="2">
        <v>0</v>
      </c>
      <c r="AM23" s="2">
        <v>0</v>
      </c>
      <c r="AN23" s="2">
        <v>0</v>
      </c>
      <c r="AO23" s="2">
        <v>0</v>
      </c>
      <c r="AP23" s="2">
        <v>4</v>
      </c>
      <c r="AQ23" s="2">
        <v>4</v>
      </c>
      <c r="AR23" s="2">
        <v>0</v>
      </c>
      <c r="AS23" s="2">
        <v>86</v>
      </c>
      <c r="AT23" s="2">
        <v>65</v>
      </c>
      <c r="AU23" s="2">
        <v>18</v>
      </c>
      <c r="AV23" s="2">
        <v>3</v>
      </c>
      <c r="AW23" s="2">
        <v>0</v>
      </c>
      <c r="AX23" s="2">
        <v>0</v>
      </c>
      <c r="AY23" s="2">
        <v>0</v>
      </c>
      <c r="AZ23" s="2">
        <v>0</v>
      </c>
    </row>
    <row r="24" spans="1:52" x14ac:dyDescent="0.3">
      <c r="A24" s="3" t="s">
        <v>23</v>
      </c>
      <c r="B24" s="1">
        <v>9</v>
      </c>
      <c r="C24" s="1">
        <v>11</v>
      </c>
      <c r="D24" s="1">
        <v>143</v>
      </c>
      <c r="E24" s="1">
        <v>2</v>
      </c>
      <c r="F24" s="1">
        <v>3</v>
      </c>
      <c r="G24" s="1">
        <v>0</v>
      </c>
      <c r="H24" s="1">
        <v>1017</v>
      </c>
      <c r="I24" s="1">
        <v>290</v>
      </c>
      <c r="J24" s="1">
        <v>57</v>
      </c>
      <c r="K24" s="1">
        <v>0</v>
      </c>
      <c r="L24" s="1">
        <v>5</v>
      </c>
      <c r="M24" s="1">
        <v>193</v>
      </c>
      <c r="N24" s="1">
        <v>92</v>
      </c>
      <c r="O24" s="1">
        <v>101</v>
      </c>
      <c r="P24" s="1">
        <v>28</v>
      </c>
      <c r="Q24" s="1">
        <v>0</v>
      </c>
      <c r="R24" s="1">
        <v>7</v>
      </c>
      <c r="S24" s="1">
        <v>2</v>
      </c>
      <c r="T24" s="1">
        <v>0</v>
      </c>
      <c r="U24" s="1">
        <v>0</v>
      </c>
      <c r="V24" s="1">
        <v>365</v>
      </c>
      <c r="W24" s="1">
        <v>365</v>
      </c>
      <c r="X24" s="1">
        <v>0</v>
      </c>
      <c r="Y24" s="1">
        <v>41</v>
      </c>
      <c r="Z24" s="1">
        <v>41</v>
      </c>
      <c r="AA24" s="1">
        <v>0</v>
      </c>
      <c r="AB24" s="1">
        <v>1650</v>
      </c>
      <c r="AC24" s="1">
        <v>1641</v>
      </c>
      <c r="AD24" s="1">
        <v>9</v>
      </c>
      <c r="AE24" s="1">
        <v>46</v>
      </c>
      <c r="AF24" s="1">
        <v>46</v>
      </c>
      <c r="AG24" s="1">
        <v>0</v>
      </c>
      <c r="AH24" s="1">
        <v>144</v>
      </c>
      <c r="AI24" s="1">
        <v>619</v>
      </c>
      <c r="AJ24" s="1">
        <v>147</v>
      </c>
      <c r="AK24" s="1">
        <v>81</v>
      </c>
      <c r="AL24" s="1">
        <v>38</v>
      </c>
      <c r="AM24" s="1">
        <v>32</v>
      </c>
      <c r="AN24" s="1">
        <v>321</v>
      </c>
      <c r="AO24" s="1">
        <v>4</v>
      </c>
      <c r="AP24" s="1">
        <v>91</v>
      </c>
      <c r="AQ24" s="1">
        <v>76</v>
      </c>
      <c r="AR24" s="1">
        <v>15</v>
      </c>
      <c r="AS24" s="1">
        <v>4505</v>
      </c>
      <c r="AT24" s="1">
        <v>3347</v>
      </c>
      <c r="AU24" s="1">
        <v>857</v>
      </c>
      <c r="AV24" s="1">
        <v>289</v>
      </c>
      <c r="AW24" s="1">
        <v>9</v>
      </c>
      <c r="AX24" s="1">
        <v>3</v>
      </c>
      <c r="AY24" s="1">
        <v>0</v>
      </c>
      <c r="AZ24" s="1">
        <v>1</v>
      </c>
    </row>
    <row r="25" spans="1:52" x14ac:dyDescent="0.3">
      <c r="A25" s="4" t="s">
        <v>24</v>
      </c>
      <c r="B25" s="2">
        <v>14</v>
      </c>
      <c r="C25" s="2">
        <v>145</v>
      </c>
      <c r="D25" s="2">
        <v>401</v>
      </c>
      <c r="E25" s="2">
        <v>0</v>
      </c>
      <c r="F25" s="2">
        <v>1</v>
      </c>
      <c r="G25" s="2">
        <v>1</v>
      </c>
      <c r="H25" s="2">
        <v>10518</v>
      </c>
      <c r="I25" s="2">
        <v>2152</v>
      </c>
      <c r="J25" s="2">
        <v>1816</v>
      </c>
      <c r="K25" s="2">
        <v>0</v>
      </c>
      <c r="L25" s="2">
        <v>0</v>
      </c>
      <c r="M25" s="2">
        <v>220</v>
      </c>
      <c r="N25" s="2">
        <v>97</v>
      </c>
      <c r="O25" s="2">
        <v>123</v>
      </c>
      <c r="P25" s="2">
        <v>76</v>
      </c>
      <c r="Q25" s="2">
        <v>0</v>
      </c>
      <c r="R25" s="2">
        <v>40</v>
      </c>
      <c r="S25" s="2">
        <v>298</v>
      </c>
      <c r="T25" s="2">
        <v>0</v>
      </c>
      <c r="U25" s="2">
        <v>0</v>
      </c>
      <c r="V25" s="2">
        <v>817</v>
      </c>
      <c r="W25" s="2">
        <v>814</v>
      </c>
      <c r="X25" s="2">
        <v>3</v>
      </c>
      <c r="Y25" s="2">
        <v>41</v>
      </c>
      <c r="Z25" s="2">
        <v>32</v>
      </c>
      <c r="AA25" s="2">
        <v>9</v>
      </c>
      <c r="AB25" s="2">
        <v>5024</v>
      </c>
      <c r="AC25" s="2">
        <v>5009</v>
      </c>
      <c r="AD25" s="2">
        <v>15</v>
      </c>
      <c r="AE25" s="2">
        <v>957</v>
      </c>
      <c r="AF25" s="2">
        <v>957</v>
      </c>
      <c r="AG25" s="2">
        <v>0</v>
      </c>
      <c r="AH25" s="2">
        <v>4</v>
      </c>
      <c r="AI25" s="2">
        <v>57</v>
      </c>
      <c r="AJ25" s="2">
        <v>15</v>
      </c>
      <c r="AK25" s="2">
        <v>0</v>
      </c>
      <c r="AL25" s="2">
        <v>0</v>
      </c>
      <c r="AM25" s="2">
        <v>1</v>
      </c>
      <c r="AN25" s="2">
        <v>41</v>
      </c>
      <c r="AO25" s="2">
        <v>0</v>
      </c>
      <c r="AP25" s="2">
        <v>120</v>
      </c>
      <c r="AQ25" s="2">
        <v>78</v>
      </c>
      <c r="AR25" s="2">
        <v>42</v>
      </c>
      <c r="AS25" s="2">
        <v>3128</v>
      </c>
      <c r="AT25" s="2">
        <v>1758</v>
      </c>
      <c r="AU25" s="2">
        <v>1232</v>
      </c>
      <c r="AV25" s="2">
        <v>98</v>
      </c>
      <c r="AW25" s="2">
        <v>28</v>
      </c>
      <c r="AX25" s="2">
        <v>12</v>
      </c>
      <c r="AY25" s="2">
        <v>0</v>
      </c>
      <c r="AZ25" s="2">
        <v>0</v>
      </c>
    </row>
    <row r="26" spans="1:52" x14ac:dyDescent="0.3">
      <c r="A26" s="3" t="s">
        <v>25</v>
      </c>
      <c r="B26" s="1">
        <v>0</v>
      </c>
      <c r="C26" s="1">
        <v>21</v>
      </c>
      <c r="D26" s="1">
        <v>14</v>
      </c>
      <c r="E26" s="1">
        <v>0</v>
      </c>
      <c r="F26" s="1">
        <v>0</v>
      </c>
      <c r="G26" s="1">
        <v>0</v>
      </c>
      <c r="H26" s="1">
        <v>319</v>
      </c>
      <c r="I26" s="1">
        <v>111</v>
      </c>
      <c r="J26" s="1">
        <v>36</v>
      </c>
      <c r="K26" s="1">
        <v>1</v>
      </c>
      <c r="L26" s="1">
        <v>0</v>
      </c>
      <c r="M26" s="1">
        <v>29</v>
      </c>
      <c r="N26" s="1">
        <v>8</v>
      </c>
      <c r="O26" s="1">
        <v>21</v>
      </c>
      <c r="P26" s="1">
        <v>44</v>
      </c>
      <c r="Q26" s="1">
        <v>0</v>
      </c>
      <c r="R26" s="1">
        <v>1</v>
      </c>
      <c r="S26" s="1">
        <v>5</v>
      </c>
      <c r="T26" s="1">
        <v>0</v>
      </c>
      <c r="U26" s="1">
        <v>0</v>
      </c>
      <c r="V26" s="1">
        <v>57</v>
      </c>
      <c r="W26" s="1">
        <v>57</v>
      </c>
      <c r="X26" s="1">
        <v>0</v>
      </c>
      <c r="Y26" s="1">
        <v>5</v>
      </c>
      <c r="Z26" s="1">
        <v>5</v>
      </c>
      <c r="AA26" s="1">
        <v>0</v>
      </c>
      <c r="AB26" s="1">
        <v>110</v>
      </c>
      <c r="AC26" s="1">
        <v>109</v>
      </c>
      <c r="AD26" s="1">
        <v>1</v>
      </c>
      <c r="AE26" s="1">
        <v>3</v>
      </c>
      <c r="AF26" s="1">
        <v>3</v>
      </c>
      <c r="AG26" s="1">
        <v>0</v>
      </c>
      <c r="AH26" s="1">
        <v>0</v>
      </c>
      <c r="AI26" s="1">
        <v>0</v>
      </c>
      <c r="AJ26" s="1">
        <v>0</v>
      </c>
      <c r="AK26" s="1">
        <v>0</v>
      </c>
      <c r="AL26" s="1">
        <v>0</v>
      </c>
      <c r="AM26" s="1">
        <v>0</v>
      </c>
      <c r="AN26" s="1">
        <v>0</v>
      </c>
      <c r="AO26" s="1">
        <v>1</v>
      </c>
      <c r="AP26" s="1">
        <v>13</v>
      </c>
      <c r="AQ26" s="1">
        <v>13</v>
      </c>
      <c r="AR26" s="1">
        <v>0</v>
      </c>
      <c r="AS26" s="1">
        <v>132</v>
      </c>
      <c r="AT26" s="1">
        <v>82</v>
      </c>
      <c r="AU26" s="1">
        <v>41</v>
      </c>
      <c r="AV26" s="1">
        <v>8</v>
      </c>
      <c r="AW26" s="1">
        <v>1</v>
      </c>
      <c r="AX26" s="1">
        <v>0</v>
      </c>
      <c r="AY26" s="1">
        <v>0</v>
      </c>
      <c r="AZ26" s="1">
        <v>0</v>
      </c>
    </row>
    <row r="27" spans="1:52" x14ac:dyDescent="0.3">
      <c r="A27" s="4" t="s">
        <v>26</v>
      </c>
      <c r="B27" s="2">
        <v>33</v>
      </c>
      <c r="C27" s="2">
        <v>2122</v>
      </c>
      <c r="D27" s="2">
        <v>395</v>
      </c>
      <c r="E27" s="2">
        <v>106</v>
      </c>
      <c r="F27" s="2">
        <v>28</v>
      </c>
      <c r="G27" s="2">
        <v>4</v>
      </c>
      <c r="H27" s="2">
        <v>19889</v>
      </c>
      <c r="I27" s="2">
        <v>14272</v>
      </c>
      <c r="J27" s="2">
        <v>3613</v>
      </c>
      <c r="K27" s="2">
        <v>19</v>
      </c>
      <c r="L27" s="2">
        <v>2</v>
      </c>
      <c r="M27" s="2">
        <v>10627</v>
      </c>
      <c r="N27" s="2">
        <v>6978</v>
      </c>
      <c r="O27" s="2">
        <v>3649</v>
      </c>
      <c r="P27" s="2">
        <v>0</v>
      </c>
      <c r="Q27" s="2">
        <v>0</v>
      </c>
      <c r="R27" s="2">
        <v>11</v>
      </c>
      <c r="S27" s="2">
        <v>7</v>
      </c>
      <c r="T27" s="2">
        <v>1</v>
      </c>
      <c r="U27" s="2">
        <v>0</v>
      </c>
      <c r="V27" s="2">
        <v>3516</v>
      </c>
      <c r="W27" s="2">
        <v>3215</v>
      </c>
      <c r="X27" s="2">
        <v>301</v>
      </c>
      <c r="Y27" s="2">
        <v>140</v>
      </c>
      <c r="Z27" s="2">
        <v>127</v>
      </c>
      <c r="AA27" s="2">
        <v>13</v>
      </c>
      <c r="AB27" s="2">
        <v>9453</v>
      </c>
      <c r="AC27" s="2">
        <v>8656</v>
      </c>
      <c r="AD27" s="2">
        <v>797</v>
      </c>
      <c r="AE27" s="2">
        <v>145</v>
      </c>
      <c r="AF27" s="2">
        <v>145</v>
      </c>
      <c r="AG27" s="2">
        <v>0</v>
      </c>
      <c r="AH27" s="2">
        <v>7151</v>
      </c>
      <c r="AI27" s="2">
        <v>53</v>
      </c>
      <c r="AJ27" s="2">
        <v>7</v>
      </c>
      <c r="AK27" s="2">
        <v>8</v>
      </c>
      <c r="AL27" s="2">
        <v>9</v>
      </c>
      <c r="AM27" s="2">
        <v>1</v>
      </c>
      <c r="AN27" s="2">
        <v>28</v>
      </c>
      <c r="AO27" s="2">
        <v>3</v>
      </c>
      <c r="AP27" s="2">
        <v>485</v>
      </c>
      <c r="AQ27" s="2">
        <v>389</v>
      </c>
      <c r="AR27" s="2">
        <v>96</v>
      </c>
      <c r="AS27" s="2">
        <v>8574</v>
      </c>
      <c r="AT27" s="2">
        <v>3645</v>
      </c>
      <c r="AU27" s="2">
        <v>4728</v>
      </c>
      <c r="AV27" s="2">
        <v>129</v>
      </c>
      <c r="AW27" s="2">
        <v>7</v>
      </c>
      <c r="AX27" s="2">
        <v>55</v>
      </c>
      <c r="AY27" s="2">
        <v>10</v>
      </c>
      <c r="AZ27" s="2">
        <v>4</v>
      </c>
    </row>
    <row r="28" spans="1:52" x14ac:dyDescent="0.3">
      <c r="A28" s="3" t="s">
        <v>27</v>
      </c>
      <c r="B28" s="1">
        <v>0</v>
      </c>
      <c r="C28" s="1">
        <v>48</v>
      </c>
      <c r="D28" s="1">
        <v>19</v>
      </c>
      <c r="E28" s="1">
        <v>4</v>
      </c>
      <c r="F28" s="1">
        <v>1</v>
      </c>
      <c r="G28" s="1">
        <v>2</v>
      </c>
      <c r="H28" s="1">
        <v>1016</v>
      </c>
      <c r="I28" s="1">
        <v>698</v>
      </c>
      <c r="J28" s="1">
        <v>136</v>
      </c>
      <c r="K28" s="1">
        <v>0</v>
      </c>
      <c r="L28" s="1">
        <v>0</v>
      </c>
      <c r="M28" s="1">
        <v>82</v>
      </c>
      <c r="N28" s="1">
        <v>79</v>
      </c>
      <c r="O28" s="1">
        <v>3</v>
      </c>
      <c r="P28" s="1">
        <v>0</v>
      </c>
      <c r="Q28" s="1">
        <v>0</v>
      </c>
      <c r="R28" s="1">
        <v>480</v>
      </c>
      <c r="S28" s="1">
        <v>4</v>
      </c>
      <c r="T28" s="1">
        <v>0</v>
      </c>
      <c r="U28" s="1">
        <v>0</v>
      </c>
      <c r="V28" s="1">
        <v>421</v>
      </c>
      <c r="W28" s="1">
        <v>421</v>
      </c>
      <c r="X28" s="1">
        <v>0</v>
      </c>
      <c r="Y28" s="1">
        <v>20</v>
      </c>
      <c r="Z28" s="1">
        <v>18</v>
      </c>
      <c r="AA28" s="1">
        <v>2</v>
      </c>
      <c r="AB28" s="1">
        <v>624</v>
      </c>
      <c r="AC28" s="1">
        <v>590</v>
      </c>
      <c r="AD28" s="1">
        <v>34</v>
      </c>
      <c r="AE28" s="1">
        <v>26</v>
      </c>
      <c r="AF28" s="1">
        <v>26</v>
      </c>
      <c r="AG28" s="1">
        <v>0</v>
      </c>
      <c r="AH28" s="1">
        <v>14</v>
      </c>
      <c r="AI28" s="1">
        <v>26</v>
      </c>
      <c r="AJ28" s="1">
        <v>6</v>
      </c>
      <c r="AK28" s="1">
        <v>6</v>
      </c>
      <c r="AL28" s="1">
        <v>0</v>
      </c>
      <c r="AM28" s="1">
        <v>0</v>
      </c>
      <c r="AN28" s="1">
        <v>14</v>
      </c>
      <c r="AO28" s="1">
        <v>0</v>
      </c>
      <c r="AP28" s="1">
        <v>77</v>
      </c>
      <c r="AQ28" s="1">
        <v>51</v>
      </c>
      <c r="AR28" s="1">
        <v>26</v>
      </c>
      <c r="AS28" s="1">
        <v>808</v>
      </c>
      <c r="AT28" s="1">
        <v>635</v>
      </c>
      <c r="AU28" s="1">
        <v>121</v>
      </c>
      <c r="AV28" s="1">
        <v>27</v>
      </c>
      <c r="AW28" s="1">
        <v>9</v>
      </c>
      <c r="AX28" s="1">
        <v>13</v>
      </c>
      <c r="AY28" s="1">
        <v>3</v>
      </c>
      <c r="AZ28" s="1">
        <v>0</v>
      </c>
    </row>
    <row r="29" spans="1:52" x14ac:dyDescent="0.3">
      <c r="A29" s="4" t="s">
        <v>28</v>
      </c>
      <c r="B29" s="2">
        <v>7</v>
      </c>
      <c r="C29" s="2">
        <v>350</v>
      </c>
      <c r="D29" s="2">
        <v>419</v>
      </c>
      <c r="E29" s="2">
        <v>16</v>
      </c>
      <c r="F29" s="2">
        <v>31</v>
      </c>
      <c r="G29" s="2">
        <v>6</v>
      </c>
      <c r="H29" s="2">
        <v>19698</v>
      </c>
      <c r="I29" s="2">
        <v>6544</v>
      </c>
      <c r="J29" s="2">
        <v>3935</v>
      </c>
      <c r="K29" s="2">
        <v>6</v>
      </c>
      <c r="L29" s="2">
        <v>17</v>
      </c>
      <c r="M29" s="2">
        <v>515</v>
      </c>
      <c r="N29" s="2">
        <v>125</v>
      </c>
      <c r="O29" s="2">
        <v>390</v>
      </c>
      <c r="P29" s="2">
        <v>16</v>
      </c>
      <c r="Q29" s="2">
        <v>1</v>
      </c>
      <c r="R29" s="2">
        <v>2054</v>
      </c>
      <c r="S29" s="2">
        <v>29</v>
      </c>
      <c r="T29" s="2">
        <v>2</v>
      </c>
      <c r="U29" s="2">
        <v>0</v>
      </c>
      <c r="V29" s="2">
        <v>1110</v>
      </c>
      <c r="W29" s="2">
        <v>1110</v>
      </c>
      <c r="X29" s="2">
        <v>0</v>
      </c>
      <c r="Y29" s="2">
        <v>825</v>
      </c>
      <c r="Z29" s="2">
        <v>825</v>
      </c>
      <c r="AA29" s="2">
        <v>0</v>
      </c>
      <c r="AB29" s="2">
        <v>2479</v>
      </c>
      <c r="AC29" s="2">
        <v>2479</v>
      </c>
      <c r="AD29" s="2">
        <v>0</v>
      </c>
      <c r="AE29" s="2">
        <v>412</v>
      </c>
      <c r="AF29" s="2">
        <v>412</v>
      </c>
      <c r="AG29" s="2">
        <v>0</v>
      </c>
      <c r="AH29" s="2">
        <v>0</v>
      </c>
      <c r="AI29" s="2">
        <v>32</v>
      </c>
      <c r="AJ29" s="2">
        <v>0</v>
      </c>
      <c r="AK29" s="2">
        <v>0</v>
      </c>
      <c r="AL29" s="2">
        <v>0</v>
      </c>
      <c r="AM29" s="2">
        <v>0</v>
      </c>
      <c r="AN29" s="2">
        <v>32</v>
      </c>
      <c r="AO29" s="2">
        <v>0</v>
      </c>
      <c r="AP29" s="2">
        <v>9</v>
      </c>
      <c r="AQ29" s="2">
        <v>6</v>
      </c>
      <c r="AR29" s="2">
        <v>3</v>
      </c>
      <c r="AS29" s="2">
        <v>2721</v>
      </c>
      <c r="AT29" s="2">
        <v>1798</v>
      </c>
      <c r="AU29" s="2">
        <v>644</v>
      </c>
      <c r="AV29" s="2">
        <v>244</v>
      </c>
      <c r="AW29" s="2">
        <v>29</v>
      </c>
      <c r="AX29" s="2">
        <v>6</v>
      </c>
      <c r="AY29" s="2">
        <v>0</v>
      </c>
      <c r="AZ29" s="2">
        <v>1</v>
      </c>
    </row>
    <row r="30" spans="1:52" x14ac:dyDescent="0.3">
      <c r="A30" s="3" t="s">
        <v>29</v>
      </c>
      <c r="B30" s="1">
        <v>0</v>
      </c>
      <c r="C30" s="1">
        <v>0</v>
      </c>
      <c r="D30" s="1">
        <v>2</v>
      </c>
      <c r="E30" s="1">
        <v>0</v>
      </c>
      <c r="F30" s="1">
        <v>0</v>
      </c>
      <c r="G30" s="1">
        <v>0</v>
      </c>
      <c r="H30" s="1">
        <v>6</v>
      </c>
      <c r="I30" s="1">
        <v>16</v>
      </c>
      <c r="J30" s="1">
        <v>16</v>
      </c>
      <c r="K30" s="1">
        <v>0</v>
      </c>
      <c r="L30" s="1">
        <v>0</v>
      </c>
      <c r="M30" s="1">
        <v>0</v>
      </c>
      <c r="N30" s="1">
        <v>0</v>
      </c>
      <c r="O30" s="1">
        <v>0</v>
      </c>
      <c r="P30" s="1">
        <v>0</v>
      </c>
      <c r="Q30" s="1">
        <v>0</v>
      </c>
      <c r="R30" s="1">
        <v>0</v>
      </c>
      <c r="S30" s="1">
        <v>0</v>
      </c>
      <c r="T30" s="1">
        <v>0</v>
      </c>
      <c r="U30" s="1">
        <v>0</v>
      </c>
      <c r="V30" s="1">
        <v>14</v>
      </c>
      <c r="W30" s="1">
        <v>14</v>
      </c>
      <c r="X30" s="1">
        <v>0</v>
      </c>
      <c r="Y30" s="1">
        <v>0</v>
      </c>
      <c r="Z30" s="1">
        <v>0</v>
      </c>
      <c r="AA30" s="1">
        <v>0</v>
      </c>
      <c r="AB30" s="1">
        <v>31</v>
      </c>
      <c r="AC30" s="1">
        <v>31</v>
      </c>
      <c r="AD30" s="1">
        <v>0</v>
      </c>
      <c r="AE30" s="1">
        <v>12</v>
      </c>
      <c r="AF30" s="1">
        <v>12</v>
      </c>
      <c r="AG30" s="1">
        <v>0</v>
      </c>
      <c r="AH30" s="1">
        <v>0</v>
      </c>
      <c r="AI30" s="1">
        <v>0</v>
      </c>
      <c r="AJ30" s="1">
        <v>0</v>
      </c>
      <c r="AK30" s="1">
        <v>0</v>
      </c>
      <c r="AL30" s="1">
        <v>0</v>
      </c>
      <c r="AM30" s="1">
        <v>0</v>
      </c>
      <c r="AN30" s="1">
        <v>0</v>
      </c>
      <c r="AO30" s="1">
        <v>0</v>
      </c>
      <c r="AP30" s="1">
        <v>29</v>
      </c>
      <c r="AQ30" s="1">
        <v>27</v>
      </c>
      <c r="AR30" s="1">
        <v>2</v>
      </c>
      <c r="AS30" s="1">
        <v>95</v>
      </c>
      <c r="AT30" s="1">
        <v>75</v>
      </c>
      <c r="AU30" s="1">
        <v>16</v>
      </c>
      <c r="AV30" s="1">
        <v>4</v>
      </c>
      <c r="AW30" s="1">
        <v>0</v>
      </c>
      <c r="AX30" s="1">
        <v>0</v>
      </c>
      <c r="AY30" s="1">
        <v>0</v>
      </c>
      <c r="AZ30" s="1">
        <v>0</v>
      </c>
    </row>
    <row r="31" spans="1:52" x14ac:dyDescent="0.3">
      <c r="A31" s="4" t="s">
        <v>30</v>
      </c>
      <c r="B31" s="2">
        <v>0</v>
      </c>
      <c r="C31" s="2">
        <v>4</v>
      </c>
      <c r="D31" s="2">
        <v>5</v>
      </c>
      <c r="E31" s="2">
        <v>0</v>
      </c>
      <c r="F31" s="2">
        <v>0</v>
      </c>
      <c r="G31" s="2">
        <v>0</v>
      </c>
      <c r="H31" s="2">
        <v>76</v>
      </c>
      <c r="I31" s="2">
        <v>131</v>
      </c>
      <c r="J31" s="2">
        <v>119</v>
      </c>
      <c r="K31" s="2">
        <v>0</v>
      </c>
      <c r="L31" s="2">
        <v>0</v>
      </c>
      <c r="M31" s="2">
        <v>9</v>
      </c>
      <c r="N31" s="2">
        <v>0</v>
      </c>
      <c r="O31" s="2">
        <v>9</v>
      </c>
      <c r="P31" s="2">
        <v>0</v>
      </c>
      <c r="Q31" s="2">
        <v>0</v>
      </c>
      <c r="R31" s="2">
        <v>3</v>
      </c>
      <c r="S31" s="2">
        <v>2</v>
      </c>
      <c r="T31" s="2">
        <v>0</v>
      </c>
      <c r="U31" s="2">
        <v>0</v>
      </c>
      <c r="V31" s="2">
        <v>102</v>
      </c>
      <c r="W31" s="2">
        <v>32</v>
      </c>
      <c r="X31" s="2">
        <v>70</v>
      </c>
      <c r="Y31" s="2">
        <v>1</v>
      </c>
      <c r="Z31" s="2">
        <v>0</v>
      </c>
      <c r="AA31" s="2">
        <v>1</v>
      </c>
      <c r="AB31" s="2">
        <v>40</v>
      </c>
      <c r="AC31" s="2">
        <v>27</v>
      </c>
      <c r="AD31" s="2">
        <v>13</v>
      </c>
      <c r="AE31" s="2">
        <v>5</v>
      </c>
      <c r="AF31" s="2">
        <v>5</v>
      </c>
      <c r="AG31" s="2">
        <v>0</v>
      </c>
      <c r="AH31" s="2">
        <v>0</v>
      </c>
      <c r="AI31" s="2">
        <v>0</v>
      </c>
      <c r="AJ31" s="2">
        <v>0</v>
      </c>
      <c r="AK31" s="2">
        <v>0</v>
      </c>
      <c r="AL31" s="2">
        <v>0</v>
      </c>
      <c r="AM31" s="2">
        <v>0</v>
      </c>
      <c r="AN31" s="2">
        <v>0</v>
      </c>
      <c r="AO31" s="2">
        <v>0</v>
      </c>
      <c r="AP31" s="2">
        <v>5</v>
      </c>
      <c r="AQ31" s="2">
        <v>5</v>
      </c>
      <c r="AR31" s="2">
        <v>0</v>
      </c>
      <c r="AS31" s="2">
        <v>0</v>
      </c>
      <c r="AT31" s="2">
        <v>0</v>
      </c>
      <c r="AU31" s="2">
        <v>0</v>
      </c>
      <c r="AV31" s="2">
        <v>0</v>
      </c>
      <c r="AW31" s="2">
        <v>0</v>
      </c>
      <c r="AX31" s="2">
        <v>0</v>
      </c>
      <c r="AY31" s="2">
        <v>0</v>
      </c>
      <c r="AZ31" s="2">
        <v>0</v>
      </c>
    </row>
    <row r="32" spans="1:52" x14ac:dyDescent="0.3">
      <c r="A32" s="3" t="s">
        <v>31</v>
      </c>
      <c r="B32" s="1">
        <v>0</v>
      </c>
      <c r="C32" s="1">
        <v>0</v>
      </c>
      <c r="D32" s="1">
        <v>1</v>
      </c>
      <c r="E32" s="1">
        <v>0</v>
      </c>
      <c r="F32" s="1">
        <v>0</v>
      </c>
      <c r="G32" s="1">
        <v>0</v>
      </c>
      <c r="H32" s="1">
        <v>2</v>
      </c>
      <c r="I32" s="1">
        <v>35</v>
      </c>
      <c r="J32" s="1">
        <v>34</v>
      </c>
      <c r="K32" s="1">
        <v>0</v>
      </c>
      <c r="L32" s="1">
        <v>0</v>
      </c>
      <c r="M32" s="1">
        <v>0</v>
      </c>
      <c r="N32" s="1">
        <v>0</v>
      </c>
      <c r="O32" s="1">
        <v>0</v>
      </c>
      <c r="P32" s="1">
        <v>0</v>
      </c>
      <c r="Q32" s="1">
        <v>0</v>
      </c>
      <c r="R32" s="1">
        <v>1</v>
      </c>
      <c r="S32" s="1">
        <v>0</v>
      </c>
      <c r="T32" s="1">
        <v>0</v>
      </c>
      <c r="U32" s="1">
        <v>0</v>
      </c>
      <c r="V32" s="1">
        <v>6</v>
      </c>
      <c r="W32" s="1">
        <v>5</v>
      </c>
      <c r="X32" s="1">
        <v>1</v>
      </c>
      <c r="Y32" s="1">
        <v>1</v>
      </c>
      <c r="Z32" s="1">
        <v>1</v>
      </c>
      <c r="AA32" s="1">
        <v>0</v>
      </c>
      <c r="AB32" s="1">
        <v>12</v>
      </c>
      <c r="AC32" s="1">
        <v>12</v>
      </c>
      <c r="AD32" s="1">
        <v>0</v>
      </c>
      <c r="AE32" s="1">
        <v>3</v>
      </c>
      <c r="AF32" s="1">
        <v>3</v>
      </c>
      <c r="AG32" s="1">
        <v>0</v>
      </c>
      <c r="AH32" s="1">
        <v>0</v>
      </c>
      <c r="AI32" s="1">
        <v>8</v>
      </c>
      <c r="AJ32" s="1">
        <v>0</v>
      </c>
      <c r="AK32" s="1">
        <v>0</v>
      </c>
      <c r="AL32" s="1">
        <v>8</v>
      </c>
      <c r="AM32" s="1">
        <v>0</v>
      </c>
      <c r="AN32" s="1">
        <v>0</v>
      </c>
      <c r="AO32" s="1">
        <v>0</v>
      </c>
      <c r="AP32" s="1">
        <v>3</v>
      </c>
      <c r="AQ32" s="1">
        <v>3</v>
      </c>
      <c r="AR32" s="1">
        <v>0</v>
      </c>
      <c r="AS32" s="1">
        <v>53</v>
      </c>
      <c r="AT32" s="1">
        <v>50</v>
      </c>
      <c r="AU32" s="1">
        <v>1</v>
      </c>
      <c r="AV32" s="1">
        <v>2</v>
      </c>
      <c r="AW32" s="1">
        <v>0</v>
      </c>
      <c r="AX32" s="1">
        <v>0</v>
      </c>
      <c r="AY32" s="1">
        <v>0</v>
      </c>
      <c r="AZ32" s="1">
        <v>0</v>
      </c>
    </row>
    <row r="33" spans="1:52" x14ac:dyDescent="0.3">
      <c r="A33" s="4" t="s">
        <v>32</v>
      </c>
      <c r="B33" s="2">
        <v>3</v>
      </c>
      <c r="C33" s="2">
        <v>115</v>
      </c>
      <c r="D33" s="2">
        <v>42</v>
      </c>
      <c r="E33" s="2">
        <v>10</v>
      </c>
      <c r="F33" s="2">
        <v>6</v>
      </c>
      <c r="G33" s="2">
        <v>2</v>
      </c>
      <c r="H33" s="2">
        <v>4236</v>
      </c>
      <c r="I33" s="2">
        <v>3970</v>
      </c>
      <c r="J33" s="2">
        <v>3838</v>
      </c>
      <c r="K33" s="2">
        <v>0</v>
      </c>
      <c r="L33" s="2">
        <v>3</v>
      </c>
      <c r="M33" s="2">
        <v>0</v>
      </c>
      <c r="N33" s="2">
        <v>0</v>
      </c>
      <c r="O33" s="2">
        <v>0</v>
      </c>
      <c r="P33" s="2">
        <v>0</v>
      </c>
      <c r="Q33" s="2">
        <v>0</v>
      </c>
      <c r="R33" s="2">
        <v>129</v>
      </c>
      <c r="S33" s="2">
        <v>44</v>
      </c>
      <c r="T33" s="2">
        <v>0</v>
      </c>
      <c r="U33" s="2">
        <v>0</v>
      </c>
      <c r="V33" s="2">
        <v>1094</v>
      </c>
      <c r="W33" s="2">
        <v>1094</v>
      </c>
      <c r="X33" s="2">
        <v>0</v>
      </c>
      <c r="Y33" s="2">
        <v>0</v>
      </c>
      <c r="Z33" s="2">
        <v>0</v>
      </c>
      <c r="AA33" s="2">
        <v>0</v>
      </c>
      <c r="AB33" s="2">
        <v>1814</v>
      </c>
      <c r="AC33" s="2">
        <v>1814</v>
      </c>
      <c r="AD33" s="2">
        <v>0</v>
      </c>
      <c r="AE33" s="2">
        <v>352</v>
      </c>
      <c r="AF33" s="2">
        <v>351</v>
      </c>
      <c r="AG33" s="2">
        <v>1</v>
      </c>
      <c r="AH33" s="2">
        <v>16</v>
      </c>
      <c r="AI33" s="2">
        <v>59</v>
      </c>
      <c r="AJ33" s="2">
        <v>1</v>
      </c>
      <c r="AK33" s="2">
        <v>1</v>
      </c>
      <c r="AL33" s="2">
        <v>0</v>
      </c>
      <c r="AM33" s="2">
        <v>1</v>
      </c>
      <c r="AN33" s="2">
        <v>56</v>
      </c>
      <c r="AO33" s="2">
        <v>4</v>
      </c>
      <c r="AP33" s="2">
        <v>36</v>
      </c>
      <c r="AQ33" s="2">
        <v>28</v>
      </c>
      <c r="AR33" s="2">
        <v>8</v>
      </c>
      <c r="AS33" s="2">
        <v>1636</v>
      </c>
      <c r="AT33" s="2">
        <v>1052</v>
      </c>
      <c r="AU33" s="2">
        <v>536</v>
      </c>
      <c r="AV33" s="2">
        <v>32</v>
      </c>
      <c r="AW33" s="2">
        <v>4</v>
      </c>
      <c r="AX33" s="2">
        <v>2</v>
      </c>
      <c r="AY33" s="2">
        <v>10</v>
      </c>
      <c r="AZ33" s="2">
        <v>0</v>
      </c>
    </row>
    <row r="34" spans="1:52" x14ac:dyDescent="0.3">
      <c r="A34" s="3" t="s">
        <v>33</v>
      </c>
      <c r="B34" s="1">
        <v>1</v>
      </c>
      <c r="C34" s="1">
        <v>9</v>
      </c>
      <c r="D34" s="1">
        <v>31</v>
      </c>
      <c r="E34" s="1">
        <v>4</v>
      </c>
      <c r="F34" s="1">
        <v>0</v>
      </c>
      <c r="G34" s="1">
        <v>0</v>
      </c>
      <c r="H34" s="1">
        <v>524</v>
      </c>
      <c r="I34" s="1">
        <v>895</v>
      </c>
      <c r="J34" s="1">
        <v>351</v>
      </c>
      <c r="K34" s="1">
        <v>2</v>
      </c>
      <c r="L34" s="1">
        <v>0</v>
      </c>
      <c r="M34" s="1">
        <v>426</v>
      </c>
      <c r="N34" s="1">
        <v>416</v>
      </c>
      <c r="O34" s="1">
        <v>10</v>
      </c>
      <c r="P34" s="1">
        <v>0</v>
      </c>
      <c r="Q34" s="1">
        <v>0</v>
      </c>
      <c r="R34" s="1">
        <v>116</v>
      </c>
      <c r="S34" s="1">
        <v>7</v>
      </c>
      <c r="T34" s="1">
        <v>0</v>
      </c>
      <c r="U34" s="1">
        <v>0</v>
      </c>
      <c r="V34" s="1">
        <v>231</v>
      </c>
      <c r="W34" s="1">
        <v>230</v>
      </c>
      <c r="X34" s="1">
        <v>1</v>
      </c>
      <c r="Y34" s="1">
        <v>2</v>
      </c>
      <c r="Z34" s="1">
        <v>2</v>
      </c>
      <c r="AA34" s="1">
        <v>0</v>
      </c>
      <c r="AB34" s="1">
        <v>1542</v>
      </c>
      <c r="AC34" s="1">
        <v>1541</v>
      </c>
      <c r="AD34" s="1">
        <v>1</v>
      </c>
      <c r="AE34" s="1">
        <v>21</v>
      </c>
      <c r="AF34" s="1">
        <v>21</v>
      </c>
      <c r="AG34" s="1">
        <v>0</v>
      </c>
      <c r="AH34" s="1">
        <v>15</v>
      </c>
      <c r="AI34" s="1">
        <v>8</v>
      </c>
      <c r="AJ34" s="1">
        <v>0</v>
      </c>
      <c r="AK34" s="1">
        <v>0</v>
      </c>
      <c r="AL34" s="1">
        <v>0</v>
      </c>
      <c r="AM34" s="1">
        <v>0</v>
      </c>
      <c r="AN34" s="1">
        <v>8</v>
      </c>
      <c r="AO34" s="1">
        <v>0</v>
      </c>
      <c r="AP34" s="1">
        <v>43</v>
      </c>
      <c r="AQ34" s="1">
        <v>39</v>
      </c>
      <c r="AR34" s="1">
        <v>4</v>
      </c>
      <c r="AS34" s="1">
        <v>320</v>
      </c>
      <c r="AT34" s="1">
        <v>214</v>
      </c>
      <c r="AU34" s="1">
        <v>76</v>
      </c>
      <c r="AV34" s="1">
        <v>13</v>
      </c>
      <c r="AW34" s="1">
        <v>17</v>
      </c>
      <c r="AX34" s="1">
        <v>0</v>
      </c>
      <c r="AY34" s="1">
        <v>0</v>
      </c>
      <c r="AZ34" s="1">
        <v>0</v>
      </c>
    </row>
    <row r="35" spans="1:52" x14ac:dyDescent="0.3">
      <c r="A35" s="4" t="s">
        <v>34</v>
      </c>
      <c r="B35" s="2">
        <v>0</v>
      </c>
      <c r="C35" s="2">
        <v>0</v>
      </c>
      <c r="D35" s="2">
        <v>0</v>
      </c>
      <c r="E35" s="2">
        <v>0</v>
      </c>
      <c r="F35" s="2">
        <v>0</v>
      </c>
      <c r="G35" s="2">
        <v>0</v>
      </c>
      <c r="H35" s="2">
        <v>6</v>
      </c>
      <c r="I35" s="2">
        <v>3</v>
      </c>
      <c r="J35" s="2">
        <v>3</v>
      </c>
      <c r="K35" s="2">
        <v>0</v>
      </c>
      <c r="L35" s="2">
        <v>0</v>
      </c>
      <c r="M35" s="2">
        <v>0</v>
      </c>
      <c r="N35" s="2">
        <v>0</v>
      </c>
      <c r="O35" s="2">
        <v>0</v>
      </c>
      <c r="P35" s="2">
        <v>0</v>
      </c>
      <c r="Q35" s="2">
        <v>0</v>
      </c>
      <c r="R35" s="2">
        <v>0</v>
      </c>
      <c r="S35" s="2">
        <v>0</v>
      </c>
      <c r="T35" s="2">
        <v>0</v>
      </c>
      <c r="U35" s="2">
        <v>0</v>
      </c>
      <c r="V35" s="2">
        <v>2</v>
      </c>
      <c r="W35" s="2">
        <v>2</v>
      </c>
      <c r="X35" s="2">
        <v>0</v>
      </c>
      <c r="Y35" s="2">
        <v>0</v>
      </c>
      <c r="Z35" s="2">
        <v>0</v>
      </c>
      <c r="AA35" s="2">
        <v>0</v>
      </c>
      <c r="AB35" s="2">
        <v>2</v>
      </c>
      <c r="AC35" s="2">
        <v>2</v>
      </c>
      <c r="AD35" s="2">
        <v>0</v>
      </c>
      <c r="AE35" s="2">
        <v>4</v>
      </c>
      <c r="AF35" s="2">
        <v>4</v>
      </c>
      <c r="AG35" s="2">
        <v>0</v>
      </c>
      <c r="AH35" s="2">
        <v>0</v>
      </c>
      <c r="AI35" s="2">
        <v>0</v>
      </c>
      <c r="AJ35" s="2">
        <v>0</v>
      </c>
      <c r="AK35" s="2">
        <v>0</v>
      </c>
      <c r="AL35" s="2">
        <v>0</v>
      </c>
      <c r="AM35" s="2">
        <v>0</v>
      </c>
      <c r="AN35" s="2">
        <v>0</v>
      </c>
      <c r="AO35" s="2">
        <v>0</v>
      </c>
      <c r="AP35" s="2">
        <v>0</v>
      </c>
      <c r="AQ35" s="2">
        <v>0</v>
      </c>
      <c r="AR35" s="2">
        <v>0</v>
      </c>
      <c r="AS35" s="2">
        <v>3</v>
      </c>
      <c r="AT35" s="2">
        <v>3</v>
      </c>
      <c r="AU35" s="2">
        <v>0</v>
      </c>
      <c r="AV35" s="2">
        <v>0</v>
      </c>
      <c r="AW35" s="2">
        <v>0</v>
      </c>
      <c r="AX35" s="2">
        <v>0</v>
      </c>
      <c r="AY35" s="2">
        <v>0</v>
      </c>
      <c r="AZ35" s="2">
        <v>0</v>
      </c>
    </row>
    <row r="36" spans="1:52" x14ac:dyDescent="0.3">
      <c r="A36" s="3" t="s">
        <v>35</v>
      </c>
      <c r="B36" s="1">
        <v>0</v>
      </c>
      <c r="C36" s="1">
        <v>0</v>
      </c>
      <c r="D36" s="1">
        <v>0</v>
      </c>
      <c r="E36" s="1">
        <v>0</v>
      </c>
      <c r="F36" s="1">
        <v>0</v>
      </c>
      <c r="G36" s="1">
        <v>0</v>
      </c>
      <c r="H36" s="1">
        <v>3</v>
      </c>
      <c r="I36" s="1">
        <v>0</v>
      </c>
      <c r="J36" s="1">
        <v>0</v>
      </c>
      <c r="K36" s="1">
        <v>0</v>
      </c>
      <c r="L36" s="1">
        <v>0</v>
      </c>
      <c r="M36" s="1">
        <v>0</v>
      </c>
      <c r="N36" s="1">
        <v>0</v>
      </c>
      <c r="O36" s="1">
        <v>0</v>
      </c>
      <c r="P36" s="1">
        <v>0</v>
      </c>
      <c r="Q36" s="1">
        <v>0</v>
      </c>
      <c r="R36" s="1">
        <v>0</v>
      </c>
      <c r="S36" s="1">
        <v>0</v>
      </c>
      <c r="T36" s="1">
        <v>0</v>
      </c>
      <c r="U36" s="1">
        <v>0</v>
      </c>
      <c r="V36" s="1">
        <v>1</v>
      </c>
      <c r="W36" s="1">
        <v>1</v>
      </c>
      <c r="X36" s="1">
        <v>0</v>
      </c>
      <c r="Y36" s="1">
        <v>0</v>
      </c>
      <c r="Z36" s="1">
        <v>0</v>
      </c>
      <c r="AA36" s="1">
        <v>0</v>
      </c>
      <c r="AB36" s="1">
        <v>7</v>
      </c>
      <c r="AC36" s="1">
        <v>7</v>
      </c>
      <c r="AD36" s="1">
        <v>0</v>
      </c>
      <c r="AE36" s="1">
        <v>1</v>
      </c>
      <c r="AF36" s="1">
        <v>1</v>
      </c>
      <c r="AG36" s="1">
        <v>0</v>
      </c>
      <c r="AH36" s="1">
        <v>0</v>
      </c>
      <c r="AI36" s="1">
        <v>0</v>
      </c>
      <c r="AJ36" s="1">
        <v>0</v>
      </c>
      <c r="AK36" s="1">
        <v>0</v>
      </c>
      <c r="AL36" s="1">
        <v>0</v>
      </c>
      <c r="AM36" s="1">
        <v>0</v>
      </c>
      <c r="AN36" s="1">
        <v>0</v>
      </c>
      <c r="AO36" s="1">
        <v>0</v>
      </c>
      <c r="AP36" s="1">
        <v>1</v>
      </c>
      <c r="AQ36" s="1">
        <v>1</v>
      </c>
      <c r="AR36" s="1">
        <v>0</v>
      </c>
      <c r="AS36" s="1">
        <v>9</v>
      </c>
      <c r="AT36" s="1">
        <v>1</v>
      </c>
      <c r="AU36" s="1">
        <v>5</v>
      </c>
      <c r="AV36" s="1">
        <v>0</v>
      </c>
      <c r="AW36" s="1">
        <v>2</v>
      </c>
      <c r="AX36" s="1">
        <v>1</v>
      </c>
      <c r="AY36" s="1">
        <v>0</v>
      </c>
      <c r="AZ36" s="1">
        <v>1</v>
      </c>
    </row>
    <row r="37" spans="1:52" x14ac:dyDescent="0.3">
      <c r="A37" s="4" t="s">
        <v>36</v>
      </c>
      <c r="B37" s="2">
        <v>0</v>
      </c>
      <c r="C37" s="2">
        <v>1</v>
      </c>
      <c r="D37" s="2">
        <v>4</v>
      </c>
      <c r="E37" s="2">
        <v>0</v>
      </c>
      <c r="F37" s="2">
        <v>0</v>
      </c>
      <c r="G37" s="2">
        <v>0</v>
      </c>
      <c r="H37" s="2">
        <v>9</v>
      </c>
      <c r="I37" s="2">
        <v>16</v>
      </c>
      <c r="J37" s="2">
        <v>15</v>
      </c>
      <c r="K37" s="2">
        <v>0</v>
      </c>
      <c r="L37" s="2">
        <v>0</v>
      </c>
      <c r="M37" s="2">
        <v>0</v>
      </c>
      <c r="N37" s="2">
        <v>0</v>
      </c>
      <c r="O37" s="2">
        <v>0</v>
      </c>
      <c r="P37" s="2">
        <v>0</v>
      </c>
      <c r="Q37" s="2">
        <v>0</v>
      </c>
      <c r="R37" s="2">
        <v>1</v>
      </c>
      <c r="S37" s="2">
        <v>15</v>
      </c>
      <c r="T37" s="2">
        <v>0</v>
      </c>
      <c r="U37" s="2">
        <v>0</v>
      </c>
      <c r="V37" s="2">
        <v>9</v>
      </c>
      <c r="W37" s="2">
        <v>9</v>
      </c>
      <c r="X37" s="2">
        <v>0</v>
      </c>
      <c r="Y37" s="2">
        <v>1</v>
      </c>
      <c r="Z37" s="2">
        <v>1</v>
      </c>
      <c r="AA37" s="2">
        <v>0</v>
      </c>
      <c r="AB37" s="2">
        <v>30</v>
      </c>
      <c r="AC37" s="2">
        <v>30</v>
      </c>
      <c r="AD37" s="2">
        <v>0</v>
      </c>
      <c r="AE37" s="2">
        <v>9</v>
      </c>
      <c r="AF37" s="2">
        <v>9</v>
      </c>
      <c r="AG37" s="2">
        <v>0</v>
      </c>
      <c r="AH37" s="2">
        <v>14</v>
      </c>
      <c r="AI37" s="2">
        <v>3</v>
      </c>
      <c r="AJ37" s="2">
        <v>0</v>
      </c>
      <c r="AK37" s="2">
        <v>0</v>
      </c>
      <c r="AL37" s="2">
        <v>0</v>
      </c>
      <c r="AM37" s="2">
        <v>0</v>
      </c>
      <c r="AN37" s="2">
        <v>3</v>
      </c>
      <c r="AO37" s="2">
        <v>0</v>
      </c>
      <c r="AP37" s="2">
        <v>10</v>
      </c>
      <c r="AQ37" s="2">
        <v>10</v>
      </c>
      <c r="AR37" s="2">
        <v>0</v>
      </c>
      <c r="AS37" s="2">
        <v>91</v>
      </c>
      <c r="AT37" s="2">
        <v>56</v>
      </c>
      <c r="AU37" s="2">
        <v>25</v>
      </c>
      <c r="AV37" s="2">
        <v>10</v>
      </c>
      <c r="AW37" s="2">
        <v>0</v>
      </c>
      <c r="AX37" s="2">
        <v>0</v>
      </c>
      <c r="AY37" s="2">
        <v>0</v>
      </c>
      <c r="AZ37" s="2">
        <v>0</v>
      </c>
    </row>
    <row r="38" spans="1:52" x14ac:dyDescent="0.3">
      <c r="A38" s="7" t="s">
        <v>37</v>
      </c>
      <c r="B38" s="8">
        <v>230</v>
      </c>
      <c r="C38" s="8">
        <v>6156</v>
      </c>
      <c r="D38" s="8">
        <v>4825</v>
      </c>
      <c r="E38" s="8">
        <v>309</v>
      </c>
      <c r="F38" s="8">
        <v>113</v>
      </c>
      <c r="G38" s="8">
        <v>41</v>
      </c>
      <c r="H38" s="8">
        <v>133676</v>
      </c>
      <c r="I38" s="8">
        <v>88605</v>
      </c>
      <c r="J38" s="8">
        <v>47867</v>
      </c>
      <c r="K38" s="8">
        <v>53</v>
      </c>
      <c r="L38" s="8">
        <v>115</v>
      </c>
      <c r="M38" s="8">
        <v>30496</v>
      </c>
      <c r="N38" s="8">
        <v>15859</v>
      </c>
      <c r="O38" s="8">
        <v>14637</v>
      </c>
      <c r="P38" s="8">
        <v>1858</v>
      </c>
      <c r="Q38" s="8">
        <v>2</v>
      </c>
      <c r="R38" s="8">
        <v>8214</v>
      </c>
      <c r="S38" s="8">
        <v>1211</v>
      </c>
      <c r="T38" s="8">
        <v>11</v>
      </c>
      <c r="U38" s="8">
        <v>4</v>
      </c>
      <c r="V38" s="8">
        <v>29670</v>
      </c>
      <c r="W38" s="8">
        <v>28821</v>
      </c>
      <c r="X38" s="8">
        <v>849</v>
      </c>
      <c r="Y38" s="8">
        <v>2796</v>
      </c>
      <c r="Z38" s="8">
        <v>2702</v>
      </c>
      <c r="AA38" s="8">
        <v>94</v>
      </c>
      <c r="AB38" s="8">
        <v>83891</v>
      </c>
      <c r="AC38" s="8">
        <v>82544</v>
      </c>
      <c r="AD38" s="8">
        <v>1347</v>
      </c>
      <c r="AE38" s="8">
        <v>8823</v>
      </c>
      <c r="AF38" s="8">
        <v>8804</v>
      </c>
      <c r="AG38" s="8">
        <v>19</v>
      </c>
      <c r="AH38" s="8">
        <v>15489</v>
      </c>
      <c r="AI38" s="8">
        <v>1788</v>
      </c>
      <c r="AJ38" s="8">
        <v>403</v>
      </c>
      <c r="AK38" s="8">
        <v>253</v>
      </c>
      <c r="AL38" s="8">
        <v>213</v>
      </c>
      <c r="AM38" s="8">
        <v>124</v>
      </c>
      <c r="AN38" s="8">
        <v>795</v>
      </c>
      <c r="AO38" s="8">
        <v>632</v>
      </c>
      <c r="AP38" s="8">
        <v>3678</v>
      </c>
      <c r="AQ38" s="8">
        <v>2767</v>
      </c>
      <c r="AR38" s="8">
        <v>911</v>
      </c>
      <c r="AS38" s="8">
        <v>66232</v>
      </c>
      <c r="AT38" s="8">
        <v>40046</v>
      </c>
      <c r="AU38" s="8">
        <v>22149</v>
      </c>
      <c r="AV38" s="8">
        <v>2778</v>
      </c>
      <c r="AW38" s="8">
        <v>698</v>
      </c>
      <c r="AX38" s="8">
        <v>513</v>
      </c>
      <c r="AY38" s="8">
        <v>48</v>
      </c>
      <c r="AZ38" s="8">
        <v>31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37"/>
  <sheetViews>
    <sheetView topLeftCell="A378" workbookViewId="0">
      <selection activeCell="C8" sqref="C8"/>
    </sheetView>
  </sheetViews>
  <sheetFormatPr defaultRowHeight="14.4" x14ac:dyDescent="0.3"/>
  <cols>
    <col min="1" max="1" width="37" bestFit="1" customWidth="1"/>
    <col min="2" max="2" width="54" bestFit="1" customWidth="1"/>
    <col min="3" max="3" width="54" customWidth="1"/>
    <col min="4" max="4" width="10.109375" bestFit="1" customWidth="1"/>
  </cols>
  <sheetData>
    <row r="1" spans="1:4" x14ac:dyDescent="0.3">
      <c r="A1" s="9" t="s">
        <v>0</v>
      </c>
      <c r="B1" s="9" t="s">
        <v>89</v>
      </c>
      <c r="C1" s="9" t="s">
        <v>91</v>
      </c>
      <c r="D1" s="9" t="s">
        <v>90</v>
      </c>
    </row>
    <row r="2" spans="1:4" x14ac:dyDescent="0.3">
      <c r="A2" s="9" t="s">
        <v>1</v>
      </c>
      <c r="B2" s="9" t="s">
        <v>88</v>
      </c>
      <c r="C2" s="9" t="s">
        <v>92</v>
      </c>
      <c r="D2" s="9">
        <v>5</v>
      </c>
    </row>
    <row r="3" spans="1:4" x14ac:dyDescent="0.3">
      <c r="A3" s="9" t="s">
        <v>1</v>
      </c>
      <c r="B3" s="9" t="s">
        <v>38</v>
      </c>
      <c r="C3" s="9" t="s">
        <v>93</v>
      </c>
      <c r="D3" s="9">
        <v>95</v>
      </c>
    </row>
    <row r="4" spans="1:4" x14ac:dyDescent="0.3">
      <c r="A4" s="9" t="s">
        <v>1</v>
      </c>
      <c r="B4" s="9" t="s">
        <v>87</v>
      </c>
      <c r="C4" s="9" t="s">
        <v>94</v>
      </c>
      <c r="D4" s="9">
        <v>386</v>
      </c>
    </row>
    <row r="5" spans="1:4" x14ac:dyDescent="0.3">
      <c r="A5" s="9" t="s">
        <v>1</v>
      </c>
      <c r="B5" s="9" t="s">
        <v>86</v>
      </c>
      <c r="C5" s="9" t="s">
        <v>86</v>
      </c>
      <c r="D5" s="9">
        <v>10</v>
      </c>
    </row>
    <row r="6" spans="1:4" x14ac:dyDescent="0.3">
      <c r="A6" s="9" t="s">
        <v>1</v>
      </c>
      <c r="B6" s="9" t="s">
        <v>85</v>
      </c>
      <c r="C6" s="9" t="s">
        <v>85</v>
      </c>
      <c r="D6" s="9">
        <v>3</v>
      </c>
    </row>
    <row r="7" spans="1:4" x14ac:dyDescent="0.3">
      <c r="A7" s="9" t="s">
        <v>1</v>
      </c>
      <c r="B7" s="9" t="s">
        <v>84</v>
      </c>
      <c r="C7" s="9" t="s">
        <v>85</v>
      </c>
      <c r="D7" s="9">
        <v>4</v>
      </c>
    </row>
    <row r="8" spans="1:4" x14ac:dyDescent="0.3">
      <c r="A8" s="9" t="s">
        <v>1</v>
      </c>
      <c r="B8" s="9" t="s">
        <v>83</v>
      </c>
      <c r="C8" s="9" t="s">
        <v>95</v>
      </c>
      <c r="D8" s="9">
        <v>10594</v>
      </c>
    </row>
    <row r="9" spans="1:4" x14ac:dyDescent="0.3">
      <c r="A9" s="9" t="s">
        <v>1</v>
      </c>
      <c r="B9" s="9" t="s">
        <v>39</v>
      </c>
      <c r="C9" s="9" t="s">
        <v>40</v>
      </c>
      <c r="D9" s="9">
        <v>524</v>
      </c>
    </row>
    <row r="10" spans="1:4" x14ac:dyDescent="0.3">
      <c r="A10" s="9" t="s">
        <v>1</v>
      </c>
      <c r="B10" s="9" t="s">
        <v>40</v>
      </c>
      <c r="C10" s="9" t="s">
        <v>40</v>
      </c>
      <c r="D10" s="9">
        <v>334</v>
      </c>
    </row>
    <row r="11" spans="1:4" x14ac:dyDescent="0.3">
      <c r="A11" s="9" t="s">
        <v>1</v>
      </c>
      <c r="B11" s="9" t="s">
        <v>41</v>
      </c>
      <c r="C11" s="9" t="s">
        <v>40</v>
      </c>
      <c r="D11" s="9">
        <v>1</v>
      </c>
    </row>
    <row r="12" spans="1:4" x14ac:dyDescent="0.3">
      <c r="A12" s="9" t="s">
        <v>1</v>
      </c>
      <c r="B12" s="9" t="s">
        <v>42</v>
      </c>
      <c r="C12" s="9" t="s">
        <v>40</v>
      </c>
      <c r="D12" s="9">
        <v>5</v>
      </c>
    </row>
    <row r="13" spans="1:4" x14ac:dyDescent="0.3">
      <c r="A13" s="9" t="s">
        <v>1</v>
      </c>
      <c r="B13" s="9" t="s">
        <v>43</v>
      </c>
      <c r="C13" s="9" t="s">
        <v>40</v>
      </c>
      <c r="D13" s="9">
        <v>132</v>
      </c>
    </row>
    <row r="14" spans="1:4" x14ac:dyDescent="0.3">
      <c r="A14" s="9" t="s">
        <v>1</v>
      </c>
      <c r="B14" s="9" t="s">
        <v>44</v>
      </c>
      <c r="C14" s="9" t="s">
        <v>40</v>
      </c>
      <c r="D14" s="9">
        <v>58</v>
      </c>
    </row>
    <row r="15" spans="1:4" x14ac:dyDescent="0.3">
      <c r="A15" s="9" t="s">
        <v>1</v>
      </c>
      <c r="B15" s="9" t="s">
        <v>45</v>
      </c>
      <c r="C15" s="9" t="s">
        <v>40</v>
      </c>
      <c r="D15" s="9">
        <v>74</v>
      </c>
    </row>
    <row r="16" spans="1:4" x14ac:dyDescent="0.3">
      <c r="A16" s="9" t="s">
        <v>1</v>
      </c>
      <c r="B16" s="9" t="s">
        <v>71</v>
      </c>
      <c r="C16" s="9" t="s">
        <v>40</v>
      </c>
      <c r="D16" s="9">
        <v>26</v>
      </c>
    </row>
    <row r="17" spans="1:4" x14ac:dyDescent="0.3">
      <c r="A17" s="9" t="s">
        <v>1</v>
      </c>
      <c r="B17" s="9" t="s">
        <v>72</v>
      </c>
      <c r="C17" s="9" t="s">
        <v>40</v>
      </c>
      <c r="D17" s="9">
        <v>0</v>
      </c>
    </row>
    <row r="18" spans="1:4" x14ac:dyDescent="0.3">
      <c r="A18" s="9" t="s">
        <v>1</v>
      </c>
      <c r="B18" s="9" t="s">
        <v>82</v>
      </c>
      <c r="C18" s="9" t="s">
        <v>40</v>
      </c>
      <c r="D18" s="9">
        <v>26</v>
      </c>
    </row>
    <row r="19" spans="1:4" x14ac:dyDescent="0.3">
      <c r="A19" s="9" t="s">
        <v>1</v>
      </c>
      <c r="B19" s="9" t="s">
        <v>81</v>
      </c>
      <c r="C19" s="9" t="s">
        <v>81</v>
      </c>
      <c r="D19" s="9">
        <v>79</v>
      </c>
    </row>
    <row r="20" spans="1:4" x14ac:dyDescent="0.3">
      <c r="A20" s="9" t="s">
        <v>1</v>
      </c>
      <c r="B20" s="9" t="s">
        <v>73</v>
      </c>
      <c r="C20" s="9" t="s">
        <v>81</v>
      </c>
      <c r="D20" s="9">
        <v>0</v>
      </c>
    </row>
    <row r="21" spans="1:4" x14ac:dyDescent="0.3">
      <c r="A21" s="9" t="s">
        <v>1</v>
      </c>
      <c r="B21" s="9" t="s">
        <v>80</v>
      </c>
      <c r="C21" s="9" t="s">
        <v>81</v>
      </c>
      <c r="D21" s="9">
        <v>2</v>
      </c>
    </row>
    <row r="22" spans="1:4" x14ac:dyDescent="0.3">
      <c r="A22" s="9" t="s">
        <v>1</v>
      </c>
      <c r="B22" s="9" t="s">
        <v>79</v>
      </c>
      <c r="C22" s="9" t="s">
        <v>96</v>
      </c>
      <c r="D22" s="9">
        <v>438</v>
      </c>
    </row>
    <row r="23" spans="1:4" x14ac:dyDescent="0.3">
      <c r="A23" s="9" t="s">
        <v>1</v>
      </c>
      <c r="B23" s="9" t="s">
        <v>46</v>
      </c>
      <c r="C23" s="9" t="s">
        <v>96</v>
      </c>
      <c r="D23" s="9">
        <v>438</v>
      </c>
    </row>
    <row r="24" spans="1:4" x14ac:dyDescent="0.3">
      <c r="A24" s="9" t="s">
        <v>1</v>
      </c>
      <c r="B24" s="9" t="s">
        <v>47</v>
      </c>
      <c r="C24" s="9" t="s">
        <v>96</v>
      </c>
      <c r="D24" s="9">
        <v>0</v>
      </c>
    </row>
    <row r="25" spans="1:4" x14ac:dyDescent="0.3">
      <c r="A25" s="9" t="s">
        <v>1</v>
      </c>
      <c r="B25" s="9" t="s">
        <v>48</v>
      </c>
      <c r="C25" s="9" t="s">
        <v>97</v>
      </c>
      <c r="D25" s="9">
        <v>112</v>
      </c>
    </row>
    <row r="26" spans="1:4" x14ac:dyDescent="0.3">
      <c r="A26" s="9" t="s">
        <v>1</v>
      </c>
      <c r="B26" s="9" t="s">
        <v>49</v>
      </c>
      <c r="C26" s="9" t="s">
        <v>97</v>
      </c>
      <c r="D26" s="9">
        <v>96</v>
      </c>
    </row>
    <row r="27" spans="1:4" x14ac:dyDescent="0.3">
      <c r="A27" s="9" t="s">
        <v>1</v>
      </c>
      <c r="B27" s="9" t="s">
        <v>50</v>
      </c>
      <c r="C27" s="9" t="s">
        <v>97</v>
      </c>
      <c r="D27" s="9">
        <v>16</v>
      </c>
    </row>
    <row r="28" spans="1:4" x14ac:dyDescent="0.3">
      <c r="A28" s="9" t="s">
        <v>1</v>
      </c>
      <c r="B28" s="9" t="s">
        <v>51</v>
      </c>
      <c r="C28" s="9" t="s">
        <v>99</v>
      </c>
      <c r="D28" s="9">
        <v>4930</v>
      </c>
    </row>
    <row r="29" spans="1:4" x14ac:dyDescent="0.3">
      <c r="A29" s="9" t="s">
        <v>1</v>
      </c>
      <c r="B29" s="9" t="s">
        <v>52</v>
      </c>
      <c r="C29" s="9" t="s">
        <v>99</v>
      </c>
      <c r="D29" s="9">
        <v>4930</v>
      </c>
    </row>
    <row r="30" spans="1:4" x14ac:dyDescent="0.3">
      <c r="A30" s="9" t="s">
        <v>1</v>
      </c>
      <c r="B30" s="9" t="s">
        <v>53</v>
      </c>
      <c r="C30" s="9" t="s">
        <v>99</v>
      </c>
      <c r="D30" s="9">
        <v>0</v>
      </c>
    </row>
    <row r="31" spans="1:4" x14ac:dyDescent="0.3">
      <c r="A31" s="9" t="s">
        <v>1</v>
      </c>
      <c r="B31" s="9" t="s">
        <v>54</v>
      </c>
      <c r="C31" s="9" t="s">
        <v>98</v>
      </c>
      <c r="D31" s="9">
        <v>2826</v>
      </c>
    </row>
    <row r="32" spans="1:4" x14ac:dyDescent="0.3">
      <c r="A32" s="9" t="s">
        <v>1</v>
      </c>
      <c r="B32" s="9" t="s">
        <v>55</v>
      </c>
      <c r="C32" s="9" t="s">
        <v>98</v>
      </c>
      <c r="D32" s="9">
        <v>2826</v>
      </c>
    </row>
    <row r="33" spans="1:4" x14ac:dyDescent="0.3">
      <c r="A33" s="9" t="s">
        <v>1</v>
      </c>
      <c r="B33" s="9" t="s">
        <v>56</v>
      </c>
      <c r="C33" s="9" t="s">
        <v>98</v>
      </c>
      <c r="D33" s="9">
        <v>0</v>
      </c>
    </row>
    <row r="34" spans="1:4" x14ac:dyDescent="0.3">
      <c r="A34" s="9" t="s">
        <v>1</v>
      </c>
      <c r="B34" s="9" t="s">
        <v>74</v>
      </c>
      <c r="C34" s="9" t="s">
        <v>74</v>
      </c>
      <c r="D34" s="9">
        <v>353</v>
      </c>
    </row>
    <row r="35" spans="1:4" x14ac:dyDescent="0.3">
      <c r="A35" s="9" t="s">
        <v>1</v>
      </c>
      <c r="B35" s="9" t="s">
        <v>57</v>
      </c>
      <c r="C35" s="9" t="s">
        <v>100</v>
      </c>
      <c r="D35" s="9">
        <v>68</v>
      </c>
    </row>
    <row r="36" spans="1:4" x14ac:dyDescent="0.3">
      <c r="A36" s="9" t="s">
        <v>1</v>
      </c>
      <c r="B36" s="9" t="s">
        <v>76</v>
      </c>
      <c r="C36" s="9" t="s">
        <v>100</v>
      </c>
      <c r="D36" s="9">
        <v>11</v>
      </c>
    </row>
    <row r="37" spans="1:4" x14ac:dyDescent="0.3">
      <c r="A37" s="9" t="s">
        <v>1</v>
      </c>
      <c r="B37" s="9" t="s">
        <v>58</v>
      </c>
      <c r="C37" s="9" t="s">
        <v>100</v>
      </c>
      <c r="D37" s="9">
        <v>1</v>
      </c>
    </row>
    <row r="38" spans="1:4" x14ac:dyDescent="0.3">
      <c r="A38" s="9" t="s">
        <v>1</v>
      </c>
      <c r="B38" s="9" t="s">
        <v>59</v>
      </c>
      <c r="C38" s="9" t="s">
        <v>100</v>
      </c>
      <c r="D38" s="9">
        <v>11</v>
      </c>
    </row>
    <row r="39" spans="1:4" x14ac:dyDescent="0.3">
      <c r="A39" s="9" t="s">
        <v>1</v>
      </c>
      <c r="B39" s="9" t="s">
        <v>60</v>
      </c>
      <c r="C39" s="9" t="s">
        <v>100</v>
      </c>
      <c r="D39" s="9">
        <v>0</v>
      </c>
    </row>
    <row r="40" spans="1:4" x14ac:dyDescent="0.3">
      <c r="A40" s="9" t="s">
        <v>1</v>
      </c>
      <c r="B40" s="9" t="s">
        <v>61</v>
      </c>
      <c r="C40" s="9" t="s">
        <v>100</v>
      </c>
      <c r="D40" s="9">
        <v>45</v>
      </c>
    </row>
    <row r="41" spans="1:4" x14ac:dyDescent="0.3">
      <c r="A41" s="9" t="s">
        <v>1</v>
      </c>
      <c r="B41" s="9" t="s">
        <v>78</v>
      </c>
      <c r="C41" s="9" t="s">
        <v>95</v>
      </c>
      <c r="D41" s="9">
        <v>0</v>
      </c>
    </row>
    <row r="42" spans="1:4" x14ac:dyDescent="0.3">
      <c r="A42" s="9" t="s">
        <v>1</v>
      </c>
      <c r="B42" s="9" t="s">
        <v>62</v>
      </c>
      <c r="C42" s="9" t="s">
        <v>101</v>
      </c>
      <c r="D42" s="9">
        <v>79</v>
      </c>
    </row>
    <row r="43" spans="1:4" x14ac:dyDescent="0.3">
      <c r="A43" s="9" t="s">
        <v>1</v>
      </c>
      <c r="B43" s="9" t="s">
        <v>63</v>
      </c>
      <c r="C43" s="9" t="s">
        <v>101</v>
      </c>
      <c r="D43" s="9">
        <v>68</v>
      </c>
    </row>
    <row r="44" spans="1:4" x14ac:dyDescent="0.3">
      <c r="A44" s="9" t="s">
        <v>1</v>
      </c>
      <c r="B44" s="9" t="s">
        <v>64</v>
      </c>
      <c r="C44" s="9" t="s">
        <v>101</v>
      </c>
      <c r="D44" s="9">
        <v>11</v>
      </c>
    </row>
    <row r="45" spans="1:4" x14ac:dyDescent="0.3">
      <c r="A45" s="9" t="s">
        <v>1</v>
      </c>
      <c r="B45" s="9" t="s">
        <v>77</v>
      </c>
      <c r="C45" s="9" t="s">
        <v>102</v>
      </c>
      <c r="D45" s="9">
        <v>1907</v>
      </c>
    </row>
    <row r="46" spans="1:4" x14ac:dyDescent="0.3">
      <c r="A46" s="9" t="s">
        <v>1</v>
      </c>
      <c r="B46" s="9" t="s">
        <v>65</v>
      </c>
      <c r="C46" s="9" t="s">
        <v>102</v>
      </c>
      <c r="D46" s="9">
        <v>855</v>
      </c>
    </row>
    <row r="47" spans="1:4" x14ac:dyDescent="0.3">
      <c r="A47" s="9" t="s">
        <v>1</v>
      </c>
      <c r="B47" s="9" t="s">
        <v>66</v>
      </c>
      <c r="C47" s="9" t="s">
        <v>102</v>
      </c>
      <c r="D47" s="9">
        <v>552</v>
      </c>
    </row>
    <row r="48" spans="1:4" x14ac:dyDescent="0.3">
      <c r="A48" s="9" t="s">
        <v>1</v>
      </c>
      <c r="B48" s="9" t="s">
        <v>67</v>
      </c>
      <c r="C48" s="9" t="s">
        <v>102</v>
      </c>
      <c r="D48" s="9">
        <v>488</v>
      </c>
    </row>
    <row r="49" spans="1:4" x14ac:dyDescent="0.3">
      <c r="A49" s="9" t="s">
        <v>1</v>
      </c>
      <c r="B49" s="9" t="s">
        <v>68</v>
      </c>
      <c r="C49" s="9" t="s">
        <v>102</v>
      </c>
      <c r="D49" s="9">
        <v>9</v>
      </c>
    </row>
    <row r="50" spans="1:4" x14ac:dyDescent="0.3">
      <c r="A50" s="9" t="s">
        <v>1</v>
      </c>
      <c r="B50" s="9" t="s">
        <v>69</v>
      </c>
      <c r="C50" s="9" t="s">
        <v>102</v>
      </c>
      <c r="D50" s="9">
        <v>3</v>
      </c>
    </row>
    <row r="51" spans="1:4" x14ac:dyDescent="0.3">
      <c r="A51" s="9" t="s">
        <v>1</v>
      </c>
      <c r="B51" s="9" t="s">
        <v>70</v>
      </c>
      <c r="C51" s="9" t="s">
        <v>102</v>
      </c>
      <c r="D51" s="9">
        <v>0</v>
      </c>
    </row>
    <row r="52" spans="1:4" x14ac:dyDescent="0.3">
      <c r="A52" s="9" t="s">
        <v>1</v>
      </c>
      <c r="B52" s="9" t="s">
        <v>75</v>
      </c>
      <c r="C52" s="9" t="s">
        <v>103</v>
      </c>
      <c r="D52" s="9">
        <v>3</v>
      </c>
    </row>
    <row r="53" spans="1:4" x14ac:dyDescent="0.3">
      <c r="A53" s="9" t="s">
        <v>2</v>
      </c>
      <c r="B53" s="9" t="s">
        <v>88</v>
      </c>
      <c r="C53" s="9" t="s">
        <v>92</v>
      </c>
      <c r="D53" s="9">
        <v>0</v>
      </c>
    </row>
    <row r="54" spans="1:4" x14ac:dyDescent="0.3">
      <c r="A54" s="9" t="s">
        <v>2</v>
      </c>
      <c r="B54" s="9" t="s">
        <v>38</v>
      </c>
      <c r="C54" s="9" t="s">
        <v>93</v>
      </c>
      <c r="D54" s="9">
        <v>1</v>
      </c>
    </row>
    <row r="55" spans="1:4" x14ac:dyDescent="0.3">
      <c r="A55" s="9" t="s">
        <v>2</v>
      </c>
      <c r="B55" s="9" t="s">
        <v>87</v>
      </c>
      <c r="C55" s="9" t="s">
        <v>94</v>
      </c>
      <c r="D55" s="9">
        <v>3</v>
      </c>
    </row>
    <row r="56" spans="1:4" x14ac:dyDescent="0.3">
      <c r="A56" s="9" t="s">
        <v>2</v>
      </c>
      <c r="B56" s="9" t="s">
        <v>86</v>
      </c>
      <c r="C56" s="9" t="s">
        <v>86</v>
      </c>
      <c r="D56" s="9">
        <v>0</v>
      </c>
    </row>
    <row r="57" spans="1:4" x14ac:dyDescent="0.3">
      <c r="A57" s="9" t="s">
        <v>2</v>
      </c>
      <c r="B57" s="9" t="s">
        <v>85</v>
      </c>
      <c r="C57" s="9" t="s">
        <v>85</v>
      </c>
      <c r="D57" s="9">
        <v>0</v>
      </c>
    </row>
    <row r="58" spans="1:4" x14ac:dyDescent="0.3">
      <c r="A58" s="9" t="s">
        <v>2</v>
      </c>
      <c r="B58" s="9" t="s">
        <v>84</v>
      </c>
      <c r="C58" s="9" t="s">
        <v>85</v>
      </c>
      <c r="D58" s="9">
        <v>0</v>
      </c>
    </row>
    <row r="59" spans="1:4" x14ac:dyDescent="0.3">
      <c r="A59" s="9" t="s">
        <v>2</v>
      </c>
      <c r="B59" s="9" t="s">
        <v>83</v>
      </c>
      <c r="C59" s="9" t="s">
        <v>95</v>
      </c>
      <c r="D59" s="9">
        <v>58</v>
      </c>
    </row>
    <row r="60" spans="1:4" x14ac:dyDescent="0.3">
      <c r="A60" s="9" t="s">
        <v>2</v>
      </c>
      <c r="B60" s="9" t="s">
        <v>39</v>
      </c>
      <c r="C60" s="9" t="s">
        <v>40</v>
      </c>
      <c r="D60" s="9">
        <v>38</v>
      </c>
    </row>
    <row r="61" spans="1:4" x14ac:dyDescent="0.3">
      <c r="A61" s="9" t="s">
        <v>2</v>
      </c>
      <c r="B61" s="9" t="s">
        <v>40</v>
      </c>
      <c r="C61" s="9" t="s">
        <v>40</v>
      </c>
      <c r="D61" s="9">
        <v>28</v>
      </c>
    </row>
    <row r="62" spans="1:4" x14ac:dyDescent="0.3">
      <c r="A62" s="9" t="s">
        <v>2</v>
      </c>
      <c r="B62" s="9" t="s">
        <v>41</v>
      </c>
      <c r="C62" s="9" t="s">
        <v>40</v>
      </c>
      <c r="D62" s="9">
        <v>0</v>
      </c>
    </row>
    <row r="63" spans="1:4" x14ac:dyDescent="0.3">
      <c r="A63" s="9" t="s">
        <v>2</v>
      </c>
      <c r="B63" s="9" t="s">
        <v>42</v>
      </c>
      <c r="C63" s="9" t="s">
        <v>40</v>
      </c>
      <c r="D63" s="9">
        <v>1</v>
      </c>
    </row>
    <row r="64" spans="1:4" x14ac:dyDescent="0.3">
      <c r="A64" s="9" t="s">
        <v>2</v>
      </c>
      <c r="B64" s="9" t="s">
        <v>43</v>
      </c>
      <c r="C64" s="9" t="s">
        <v>40</v>
      </c>
      <c r="D64" s="9">
        <v>3</v>
      </c>
    </row>
    <row r="65" spans="1:4" x14ac:dyDescent="0.3">
      <c r="A65" s="9" t="s">
        <v>2</v>
      </c>
      <c r="B65" s="9" t="s">
        <v>44</v>
      </c>
      <c r="C65" s="9" t="s">
        <v>40</v>
      </c>
      <c r="D65" s="9">
        <v>2</v>
      </c>
    </row>
    <row r="66" spans="1:4" x14ac:dyDescent="0.3">
      <c r="A66" s="9" t="s">
        <v>2</v>
      </c>
      <c r="B66" s="9" t="s">
        <v>45</v>
      </c>
      <c r="C66" s="9" t="s">
        <v>40</v>
      </c>
      <c r="D66" s="9">
        <v>1</v>
      </c>
    </row>
    <row r="67" spans="1:4" x14ac:dyDescent="0.3">
      <c r="A67" s="9" t="s">
        <v>2</v>
      </c>
      <c r="B67" s="9" t="s">
        <v>71</v>
      </c>
      <c r="C67" s="9" t="s">
        <v>40</v>
      </c>
      <c r="D67" s="9">
        <v>1</v>
      </c>
    </row>
    <row r="68" spans="1:4" x14ac:dyDescent="0.3">
      <c r="A68" s="9" t="s">
        <v>2</v>
      </c>
      <c r="B68" s="9" t="s">
        <v>72</v>
      </c>
      <c r="C68" s="9" t="s">
        <v>40</v>
      </c>
      <c r="D68" s="9">
        <v>0</v>
      </c>
    </row>
    <row r="69" spans="1:4" x14ac:dyDescent="0.3">
      <c r="A69" s="9" t="s">
        <v>2</v>
      </c>
      <c r="B69" s="9" t="s">
        <v>82</v>
      </c>
      <c r="C69" s="9" t="s">
        <v>40</v>
      </c>
      <c r="D69" s="9">
        <v>5</v>
      </c>
    </row>
    <row r="70" spans="1:4" x14ac:dyDescent="0.3">
      <c r="A70" s="9" t="s">
        <v>2</v>
      </c>
      <c r="B70" s="9" t="s">
        <v>81</v>
      </c>
      <c r="C70" s="9" t="s">
        <v>81</v>
      </c>
      <c r="D70" s="9">
        <v>5</v>
      </c>
    </row>
    <row r="71" spans="1:4" x14ac:dyDescent="0.3">
      <c r="A71" s="9" t="s">
        <v>2</v>
      </c>
      <c r="B71" s="9" t="s">
        <v>73</v>
      </c>
      <c r="C71" s="9" t="s">
        <v>81</v>
      </c>
      <c r="D71" s="9">
        <v>0</v>
      </c>
    </row>
    <row r="72" spans="1:4" x14ac:dyDescent="0.3">
      <c r="A72" s="9" t="s">
        <v>2</v>
      </c>
      <c r="B72" s="9" t="s">
        <v>80</v>
      </c>
      <c r="C72" s="9" t="s">
        <v>81</v>
      </c>
      <c r="D72" s="9">
        <v>0</v>
      </c>
    </row>
    <row r="73" spans="1:4" x14ac:dyDescent="0.3">
      <c r="A73" s="9" t="s">
        <v>2</v>
      </c>
      <c r="B73" s="9" t="s">
        <v>79</v>
      </c>
      <c r="C73" s="9" t="s">
        <v>96</v>
      </c>
      <c r="D73" s="9">
        <v>71</v>
      </c>
    </row>
    <row r="74" spans="1:4" x14ac:dyDescent="0.3">
      <c r="A74" s="9" t="s">
        <v>2</v>
      </c>
      <c r="B74" s="9" t="s">
        <v>46</v>
      </c>
      <c r="C74" s="9" t="s">
        <v>96</v>
      </c>
      <c r="D74" s="9">
        <v>35</v>
      </c>
    </row>
    <row r="75" spans="1:4" x14ac:dyDescent="0.3">
      <c r="A75" s="9" t="s">
        <v>2</v>
      </c>
      <c r="B75" s="9" t="s">
        <v>47</v>
      </c>
      <c r="C75" s="9" t="s">
        <v>96</v>
      </c>
      <c r="D75" s="9">
        <v>36</v>
      </c>
    </row>
    <row r="76" spans="1:4" x14ac:dyDescent="0.3">
      <c r="A76" s="9" t="s">
        <v>2</v>
      </c>
      <c r="B76" s="9" t="s">
        <v>48</v>
      </c>
      <c r="C76" s="9" t="s">
        <v>97</v>
      </c>
      <c r="D76" s="9">
        <v>5</v>
      </c>
    </row>
    <row r="77" spans="1:4" x14ac:dyDescent="0.3">
      <c r="A77" s="9" t="s">
        <v>2</v>
      </c>
      <c r="B77" s="9" t="s">
        <v>49</v>
      </c>
      <c r="C77" s="9" t="s">
        <v>97</v>
      </c>
      <c r="D77" s="9">
        <v>3</v>
      </c>
    </row>
    <row r="78" spans="1:4" x14ac:dyDescent="0.3">
      <c r="A78" s="9" t="s">
        <v>2</v>
      </c>
      <c r="B78" s="9" t="s">
        <v>50</v>
      </c>
      <c r="C78" s="9" t="s">
        <v>97</v>
      </c>
      <c r="D78" s="9">
        <v>2</v>
      </c>
    </row>
    <row r="79" spans="1:4" x14ac:dyDescent="0.3">
      <c r="A79" s="9" t="s">
        <v>2</v>
      </c>
      <c r="B79" s="9" t="s">
        <v>51</v>
      </c>
      <c r="C79" s="9" t="s">
        <v>99</v>
      </c>
      <c r="D79" s="9">
        <v>74</v>
      </c>
    </row>
    <row r="80" spans="1:4" x14ac:dyDescent="0.3">
      <c r="A80" s="9" t="s">
        <v>2</v>
      </c>
      <c r="B80" s="9" t="s">
        <v>52</v>
      </c>
      <c r="C80" s="9" t="s">
        <v>99</v>
      </c>
      <c r="D80" s="9">
        <v>69</v>
      </c>
    </row>
    <row r="81" spans="1:4" x14ac:dyDescent="0.3">
      <c r="A81" s="9" t="s">
        <v>2</v>
      </c>
      <c r="B81" s="9" t="s">
        <v>53</v>
      </c>
      <c r="C81" s="9" t="s">
        <v>99</v>
      </c>
      <c r="D81" s="9">
        <v>5</v>
      </c>
    </row>
    <row r="82" spans="1:4" x14ac:dyDescent="0.3">
      <c r="A82" s="9" t="s">
        <v>2</v>
      </c>
      <c r="B82" s="9" t="s">
        <v>54</v>
      </c>
      <c r="C82" s="9" t="s">
        <v>98</v>
      </c>
      <c r="D82" s="9">
        <v>16</v>
      </c>
    </row>
    <row r="83" spans="1:4" x14ac:dyDescent="0.3">
      <c r="A83" s="9" t="s">
        <v>2</v>
      </c>
      <c r="B83" s="9" t="s">
        <v>55</v>
      </c>
      <c r="C83" s="9" t="s">
        <v>98</v>
      </c>
      <c r="D83" s="9">
        <v>16</v>
      </c>
    </row>
    <row r="84" spans="1:4" x14ac:dyDescent="0.3">
      <c r="A84" s="9" t="s">
        <v>2</v>
      </c>
      <c r="B84" s="9" t="s">
        <v>56</v>
      </c>
      <c r="C84" s="9" t="s">
        <v>98</v>
      </c>
      <c r="D84" s="9">
        <v>0</v>
      </c>
    </row>
    <row r="85" spans="1:4" x14ac:dyDescent="0.3">
      <c r="A85" s="9" t="s">
        <v>2</v>
      </c>
      <c r="B85" s="9" t="s">
        <v>74</v>
      </c>
      <c r="C85" s="9" t="s">
        <v>74</v>
      </c>
      <c r="D85" s="9">
        <v>0</v>
      </c>
    </row>
    <row r="86" spans="1:4" x14ac:dyDescent="0.3">
      <c r="A86" s="9" t="s">
        <v>2</v>
      </c>
      <c r="B86" s="9" t="s">
        <v>57</v>
      </c>
      <c r="C86" s="9" t="s">
        <v>100</v>
      </c>
      <c r="D86" s="9">
        <v>0</v>
      </c>
    </row>
    <row r="87" spans="1:4" x14ac:dyDescent="0.3">
      <c r="A87" s="9" t="s">
        <v>2</v>
      </c>
      <c r="B87" s="9" t="s">
        <v>76</v>
      </c>
      <c r="C87" s="9" t="s">
        <v>100</v>
      </c>
      <c r="D87" s="9">
        <v>0</v>
      </c>
    </row>
    <row r="88" spans="1:4" x14ac:dyDescent="0.3">
      <c r="A88" s="9" t="s">
        <v>2</v>
      </c>
      <c r="B88" s="9" t="s">
        <v>58</v>
      </c>
      <c r="C88" s="9" t="s">
        <v>100</v>
      </c>
      <c r="D88" s="9">
        <v>0</v>
      </c>
    </row>
    <row r="89" spans="1:4" x14ac:dyDescent="0.3">
      <c r="A89" s="9" t="s">
        <v>2</v>
      </c>
      <c r="B89" s="9" t="s">
        <v>59</v>
      </c>
      <c r="C89" s="9" t="s">
        <v>100</v>
      </c>
      <c r="D89" s="9">
        <v>0</v>
      </c>
    </row>
    <row r="90" spans="1:4" x14ac:dyDescent="0.3">
      <c r="A90" s="9" t="s">
        <v>2</v>
      </c>
      <c r="B90" s="9" t="s">
        <v>60</v>
      </c>
      <c r="C90" s="9" t="s">
        <v>100</v>
      </c>
      <c r="D90" s="9">
        <v>0</v>
      </c>
    </row>
    <row r="91" spans="1:4" x14ac:dyDescent="0.3">
      <c r="A91" s="9" t="s">
        <v>2</v>
      </c>
      <c r="B91" s="9" t="s">
        <v>61</v>
      </c>
      <c r="C91" s="9" t="s">
        <v>100</v>
      </c>
      <c r="D91" s="9">
        <v>0</v>
      </c>
    </row>
    <row r="92" spans="1:4" x14ac:dyDescent="0.3">
      <c r="A92" s="9" t="s">
        <v>2</v>
      </c>
      <c r="B92" s="9" t="s">
        <v>78</v>
      </c>
      <c r="C92" s="9" t="s">
        <v>95</v>
      </c>
      <c r="D92" s="9">
        <v>0</v>
      </c>
    </row>
    <row r="93" spans="1:4" x14ac:dyDescent="0.3">
      <c r="A93" s="9" t="s">
        <v>2</v>
      </c>
      <c r="B93" s="9" t="s">
        <v>62</v>
      </c>
      <c r="C93" s="9" t="s">
        <v>101</v>
      </c>
      <c r="D93" s="9">
        <v>0</v>
      </c>
    </row>
    <row r="94" spans="1:4" x14ac:dyDescent="0.3">
      <c r="A94" s="9" t="s">
        <v>2</v>
      </c>
      <c r="B94" s="9" t="s">
        <v>63</v>
      </c>
      <c r="C94" s="9" t="s">
        <v>101</v>
      </c>
      <c r="D94" s="9">
        <v>0</v>
      </c>
    </row>
    <row r="95" spans="1:4" x14ac:dyDescent="0.3">
      <c r="A95" s="9" t="s">
        <v>2</v>
      </c>
      <c r="B95" s="9" t="s">
        <v>64</v>
      </c>
      <c r="C95" s="9" t="s">
        <v>101</v>
      </c>
      <c r="D95" s="9">
        <v>0</v>
      </c>
    </row>
    <row r="96" spans="1:4" x14ac:dyDescent="0.3">
      <c r="A96" s="9" t="s">
        <v>2</v>
      </c>
      <c r="B96" s="9" t="s">
        <v>77</v>
      </c>
      <c r="C96" s="9" t="s">
        <v>102</v>
      </c>
      <c r="D96" s="9">
        <v>55</v>
      </c>
    </row>
    <row r="97" spans="1:4" x14ac:dyDescent="0.3">
      <c r="A97" s="9" t="s">
        <v>2</v>
      </c>
      <c r="B97" s="9" t="s">
        <v>65</v>
      </c>
      <c r="C97" s="9" t="s">
        <v>102</v>
      </c>
      <c r="D97" s="9">
        <v>42</v>
      </c>
    </row>
    <row r="98" spans="1:4" x14ac:dyDescent="0.3">
      <c r="A98" s="9" t="s">
        <v>2</v>
      </c>
      <c r="B98" s="9" t="s">
        <v>66</v>
      </c>
      <c r="C98" s="9" t="s">
        <v>102</v>
      </c>
      <c r="D98" s="9">
        <v>11</v>
      </c>
    </row>
    <row r="99" spans="1:4" x14ac:dyDescent="0.3">
      <c r="A99" s="9" t="s">
        <v>2</v>
      </c>
      <c r="B99" s="9" t="s">
        <v>67</v>
      </c>
      <c r="C99" s="9" t="s">
        <v>102</v>
      </c>
      <c r="D99" s="9">
        <v>1</v>
      </c>
    </row>
    <row r="100" spans="1:4" x14ac:dyDescent="0.3">
      <c r="A100" s="9" t="s">
        <v>2</v>
      </c>
      <c r="B100" s="9" t="s">
        <v>68</v>
      </c>
      <c r="C100" s="9" t="s">
        <v>102</v>
      </c>
      <c r="D100" s="9">
        <v>1</v>
      </c>
    </row>
    <row r="101" spans="1:4" x14ac:dyDescent="0.3">
      <c r="A101" s="9" t="s">
        <v>2</v>
      </c>
      <c r="B101" s="9" t="s">
        <v>69</v>
      </c>
      <c r="C101" s="9" t="s">
        <v>102</v>
      </c>
      <c r="D101" s="9">
        <v>0</v>
      </c>
    </row>
    <row r="102" spans="1:4" x14ac:dyDescent="0.3">
      <c r="A102" s="9" t="s">
        <v>2</v>
      </c>
      <c r="B102" s="9" t="s">
        <v>70</v>
      </c>
      <c r="C102" s="9" t="s">
        <v>102</v>
      </c>
      <c r="D102" s="9">
        <v>0</v>
      </c>
    </row>
    <row r="103" spans="1:4" x14ac:dyDescent="0.3">
      <c r="A103" s="9" t="s">
        <v>2</v>
      </c>
      <c r="B103" s="9" t="s">
        <v>75</v>
      </c>
      <c r="C103" s="9" t="s">
        <v>103</v>
      </c>
      <c r="D103" s="9">
        <v>0</v>
      </c>
    </row>
    <row r="104" spans="1:4" x14ac:dyDescent="0.3">
      <c r="A104" s="9" t="s">
        <v>3</v>
      </c>
      <c r="B104" s="9" t="s">
        <v>88</v>
      </c>
      <c r="C104" s="9" t="s">
        <v>92</v>
      </c>
      <c r="D104" s="9">
        <v>13</v>
      </c>
    </row>
    <row r="105" spans="1:4" x14ac:dyDescent="0.3">
      <c r="A105" s="9" t="s">
        <v>3</v>
      </c>
      <c r="B105" s="9" t="s">
        <v>38</v>
      </c>
      <c r="C105" s="9" t="s">
        <v>93</v>
      </c>
      <c r="D105" s="9">
        <v>101</v>
      </c>
    </row>
    <row r="106" spans="1:4" x14ac:dyDescent="0.3">
      <c r="A106" s="9" t="s">
        <v>3</v>
      </c>
      <c r="B106" s="9" t="s">
        <v>87</v>
      </c>
      <c r="C106" s="9" t="s">
        <v>94</v>
      </c>
      <c r="D106" s="9">
        <v>102</v>
      </c>
    </row>
    <row r="107" spans="1:4" x14ac:dyDescent="0.3">
      <c r="A107" s="9" t="s">
        <v>3</v>
      </c>
      <c r="B107" s="9" t="s">
        <v>86</v>
      </c>
      <c r="C107" s="9" t="s">
        <v>86</v>
      </c>
      <c r="D107" s="9">
        <v>4</v>
      </c>
    </row>
    <row r="108" spans="1:4" x14ac:dyDescent="0.3">
      <c r="A108" s="9" t="s">
        <v>3</v>
      </c>
      <c r="B108" s="9" t="s">
        <v>85</v>
      </c>
      <c r="C108" s="9" t="s">
        <v>85</v>
      </c>
      <c r="D108" s="9">
        <v>4</v>
      </c>
    </row>
    <row r="109" spans="1:4" x14ac:dyDescent="0.3">
      <c r="A109" s="9" t="s">
        <v>3</v>
      </c>
      <c r="B109" s="9" t="s">
        <v>84</v>
      </c>
      <c r="C109" s="9" t="s">
        <v>85</v>
      </c>
      <c r="D109" s="9">
        <v>2</v>
      </c>
    </row>
    <row r="110" spans="1:4" x14ac:dyDescent="0.3">
      <c r="A110" s="9" t="s">
        <v>3</v>
      </c>
      <c r="B110" s="9" t="s">
        <v>83</v>
      </c>
      <c r="C110" s="9" t="s">
        <v>95</v>
      </c>
      <c r="D110" s="9">
        <v>2923</v>
      </c>
    </row>
    <row r="111" spans="1:4" x14ac:dyDescent="0.3">
      <c r="A111" s="9" t="s">
        <v>3</v>
      </c>
      <c r="B111" s="9" t="s">
        <v>39</v>
      </c>
      <c r="C111" s="9" t="s">
        <v>40</v>
      </c>
      <c r="D111" s="9">
        <v>3110</v>
      </c>
    </row>
    <row r="112" spans="1:4" x14ac:dyDescent="0.3">
      <c r="A112" s="9" t="s">
        <v>3</v>
      </c>
      <c r="B112" s="9" t="s">
        <v>40</v>
      </c>
      <c r="C112" s="9" t="s">
        <v>40</v>
      </c>
      <c r="D112" s="9">
        <v>645</v>
      </c>
    </row>
    <row r="113" spans="1:4" x14ac:dyDescent="0.3">
      <c r="A113" s="9" t="s">
        <v>3</v>
      </c>
      <c r="B113" s="9" t="s">
        <v>41</v>
      </c>
      <c r="C113" s="9" t="s">
        <v>40</v>
      </c>
      <c r="D113" s="9">
        <v>3</v>
      </c>
    </row>
    <row r="114" spans="1:4" x14ac:dyDescent="0.3">
      <c r="A114" s="9" t="s">
        <v>3</v>
      </c>
      <c r="B114" s="9" t="s">
        <v>42</v>
      </c>
      <c r="C114" s="9" t="s">
        <v>40</v>
      </c>
      <c r="D114" s="9">
        <v>15</v>
      </c>
    </row>
    <row r="115" spans="1:4" x14ac:dyDescent="0.3">
      <c r="A115" s="9" t="s">
        <v>3</v>
      </c>
      <c r="B115" s="9" t="s">
        <v>43</v>
      </c>
      <c r="C115" s="9" t="s">
        <v>40</v>
      </c>
      <c r="D115" s="9">
        <v>1371</v>
      </c>
    </row>
    <row r="116" spans="1:4" x14ac:dyDescent="0.3">
      <c r="A116" s="9" t="s">
        <v>3</v>
      </c>
      <c r="B116" s="9" t="s">
        <v>44</v>
      </c>
      <c r="C116" s="9" t="s">
        <v>40</v>
      </c>
      <c r="D116" s="9">
        <v>1000</v>
      </c>
    </row>
    <row r="117" spans="1:4" x14ac:dyDescent="0.3">
      <c r="A117" s="9" t="s">
        <v>3</v>
      </c>
      <c r="B117" s="9" t="s">
        <v>45</v>
      </c>
      <c r="C117" s="9" t="s">
        <v>40</v>
      </c>
      <c r="D117" s="9">
        <v>371</v>
      </c>
    </row>
    <row r="118" spans="1:4" x14ac:dyDescent="0.3">
      <c r="A118" s="9" t="s">
        <v>3</v>
      </c>
      <c r="B118" s="9" t="s">
        <v>71</v>
      </c>
      <c r="C118" s="9" t="s">
        <v>40</v>
      </c>
      <c r="D118" s="9">
        <v>454</v>
      </c>
    </row>
    <row r="119" spans="1:4" x14ac:dyDescent="0.3">
      <c r="A119" s="9" t="s">
        <v>3</v>
      </c>
      <c r="B119" s="9" t="s">
        <v>72</v>
      </c>
      <c r="C119" s="9" t="s">
        <v>40</v>
      </c>
      <c r="D119" s="9">
        <v>0</v>
      </c>
    </row>
    <row r="120" spans="1:4" x14ac:dyDescent="0.3">
      <c r="A120" s="9" t="s">
        <v>3</v>
      </c>
      <c r="B120" s="9" t="s">
        <v>82</v>
      </c>
      <c r="C120" s="9" t="s">
        <v>40</v>
      </c>
      <c r="D120" s="9">
        <v>622</v>
      </c>
    </row>
    <row r="121" spans="1:4" x14ac:dyDescent="0.3">
      <c r="A121" s="9" t="s">
        <v>3</v>
      </c>
      <c r="B121" s="9" t="s">
        <v>81</v>
      </c>
      <c r="C121" s="9" t="s">
        <v>81</v>
      </c>
      <c r="D121" s="9">
        <v>81</v>
      </c>
    </row>
    <row r="122" spans="1:4" x14ac:dyDescent="0.3">
      <c r="A122" s="9" t="s">
        <v>3</v>
      </c>
      <c r="B122" s="9" t="s">
        <v>73</v>
      </c>
      <c r="C122" s="9" t="s">
        <v>81</v>
      </c>
      <c r="D122" s="9">
        <v>5</v>
      </c>
    </row>
    <row r="123" spans="1:4" x14ac:dyDescent="0.3">
      <c r="A123" s="9" t="s">
        <v>3</v>
      </c>
      <c r="B123" s="9" t="s">
        <v>80</v>
      </c>
      <c r="C123" s="9" t="s">
        <v>81</v>
      </c>
      <c r="D123" s="9">
        <v>0</v>
      </c>
    </row>
    <row r="124" spans="1:4" x14ac:dyDescent="0.3">
      <c r="A124" s="9" t="s">
        <v>3</v>
      </c>
      <c r="B124" s="9" t="s">
        <v>79</v>
      </c>
      <c r="C124" s="9" t="s">
        <v>96</v>
      </c>
      <c r="D124" s="9">
        <v>989</v>
      </c>
    </row>
    <row r="125" spans="1:4" x14ac:dyDescent="0.3">
      <c r="A125" s="9" t="s">
        <v>3</v>
      </c>
      <c r="B125" s="9" t="s">
        <v>46</v>
      </c>
      <c r="C125" s="9" t="s">
        <v>96</v>
      </c>
      <c r="D125" s="9">
        <v>988</v>
      </c>
    </row>
    <row r="126" spans="1:4" x14ac:dyDescent="0.3">
      <c r="A126" s="9" t="s">
        <v>3</v>
      </c>
      <c r="B126" s="9" t="s">
        <v>47</v>
      </c>
      <c r="C126" s="9" t="s">
        <v>96</v>
      </c>
      <c r="D126" s="9">
        <v>1</v>
      </c>
    </row>
    <row r="127" spans="1:4" x14ac:dyDescent="0.3">
      <c r="A127" s="9" t="s">
        <v>3</v>
      </c>
      <c r="B127" s="9" t="s">
        <v>48</v>
      </c>
      <c r="C127" s="9" t="s">
        <v>97</v>
      </c>
      <c r="D127" s="9">
        <v>173</v>
      </c>
    </row>
    <row r="128" spans="1:4" x14ac:dyDescent="0.3">
      <c r="A128" s="9" t="s">
        <v>3</v>
      </c>
      <c r="B128" s="9" t="s">
        <v>49</v>
      </c>
      <c r="C128" s="9" t="s">
        <v>97</v>
      </c>
      <c r="D128" s="9">
        <v>173</v>
      </c>
    </row>
    <row r="129" spans="1:4" x14ac:dyDescent="0.3">
      <c r="A129" s="9" t="s">
        <v>3</v>
      </c>
      <c r="B129" s="9" t="s">
        <v>50</v>
      </c>
      <c r="C129" s="9" t="s">
        <v>97</v>
      </c>
      <c r="D129" s="9">
        <v>0</v>
      </c>
    </row>
    <row r="130" spans="1:4" x14ac:dyDescent="0.3">
      <c r="A130" s="9" t="s">
        <v>3</v>
      </c>
      <c r="B130" s="9" t="s">
        <v>51</v>
      </c>
      <c r="C130" s="9" t="s">
        <v>99</v>
      </c>
      <c r="D130" s="9">
        <v>1595</v>
      </c>
    </row>
    <row r="131" spans="1:4" x14ac:dyDescent="0.3">
      <c r="A131" s="9" t="s">
        <v>3</v>
      </c>
      <c r="B131" s="9" t="s">
        <v>52</v>
      </c>
      <c r="C131" s="9" t="s">
        <v>99</v>
      </c>
      <c r="D131" s="9">
        <v>1582</v>
      </c>
    </row>
    <row r="132" spans="1:4" x14ac:dyDescent="0.3">
      <c r="A132" s="9" t="s">
        <v>3</v>
      </c>
      <c r="B132" s="9" t="s">
        <v>53</v>
      </c>
      <c r="C132" s="9" t="s">
        <v>99</v>
      </c>
      <c r="D132" s="9">
        <v>13</v>
      </c>
    </row>
    <row r="133" spans="1:4" x14ac:dyDescent="0.3">
      <c r="A133" s="9" t="s">
        <v>3</v>
      </c>
      <c r="B133" s="9" t="s">
        <v>54</v>
      </c>
      <c r="C133" s="9" t="s">
        <v>98</v>
      </c>
      <c r="D133" s="9">
        <v>42</v>
      </c>
    </row>
    <row r="134" spans="1:4" x14ac:dyDescent="0.3">
      <c r="A134" s="9" t="s">
        <v>3</v>
      </c>
      <c r="B134" s="9" t="s">
        <v>55</v>
      </c>
      <c r="C134" s="9" t="s">
        <v>98</v>
      </c>
      <c r="D134" s="9">
        <v>42</v>
      </c>
    </row>
    <row r="135" spans="1:4" x14ac:dyDescent="0.3">
      <c r="A135" s="9" t="s">
        <v>3</v>
      </c>
      <c r="B135" s="9" t="s">
        <v>56</v>
      </c>
      <c r="C135" s="9" t="s">
        <v>98</v>
      </c>
      <c r="D135" s="9">
        <v>0</v>
      </c>
    </row>
    <row r="136" spans="1:4" x14ac:dyDescent="0.3">
      <c r="A136" s="9" t="s">
        <v>3</v>
      </c>
      <c r="B136" s="9" t="s">
        <v>74</v>
      </c>
      <c r="C136" s="9" t="s">
        <v>74</v>
      </c>
      <c r="D136" s="9">
        <v>162</v>
      </c>
    </row>
    <row r="137" spans="1:4" x14ac:dyDescent="0.3">
      <c r="A137" s="9" t="s">
        <v>3</v>
      </c>
      <c r="B137" s="9" t="s">
        <v>57</v>
      </c>
      <c r="C137" s="9" t="s">
        <v>100</v>
      </c>
      <c r="D137" s="9">
        <v>30</v>
      </c>
    </row>
    <row r="138" spans="1:4" x14ac:dyDescent="0.3">
      <c r="A138" s="9" t="s">
        <v>3</v>
      </c>
      <c r="B138" s="9" t="s">
        <v>76</v>
      </c>
      <c r="C138" s="9" t="s">
        <v>100</v>
      </c>
      <c r="D138" s="9">
        <v>3</v>
      </c>
    </row>
    <row r="139" spans="1:4" x14ac:dyDescent="0.3">
      <c r="A139" s="9" t="s">
        <v>3</v>
      </c>
      <c r="B139" s="9" t="s">
        <v>58</v>
      </c>
      <c r="C139" s="9" t="s">
        <v>100</v>
      </c>
      <c r="D139" s="9">
        <v>0</v>
      </c>
    </row>
    <row r="140" spans="1:4" x14ac:dyDescent="0.3">
      <c r="A140" s="9" t="s">
        <v>3</v>
      </c>
      <c r="B140" s="9" t="s">
        <v>59</v>
      </c>
      <c r="C140" s="9" t="s">
        <v>100</v>
      </c>
      <c r="D140" s="9">
        <v>0</v>
      </c>
    </row>
    <row r="141" spans="1:4" x14ac:dyDescent="0.3">
      <c r="A141" s="9" t="s">
        <v>3</v>
      </c>
      <c r="B141" s="9" t="s">
        <v>60</v>
      </c>
      <c r="C141" s="9" t="s">
        <v>100</v>
      </c>
      <c r="D141" s="9">
        <v>0</v>
      </c>
    </row>
    <row r="142" spans="1:4" x14ac:dyDescent="0.3">
      <c r="A142" s="9" t="s">
        <v>3</v>
      </c>
      <c r="B142" s="9" t="s">
        <v>61</v>
      </c>
      <c r="C142" s="9" t="s">
        <v>100</v>
      </c>
      <c r="D142" s="9">
        <v>27</v>
      </c>
    </row>
    <row r="143" spans="1:4" x14ac:dyDescent="0.3">
      <c r="A143" s="9" t="s">
        <v>3</v>
      </c>
      <c r="B143" s="9" t="s">
        <v>78</v>
      </c>
      <c r="C143" s="9" t="s">
        <v>95</v>
      </c>
      <c r="D143" s="9">
        <v>3</v>
      </c>
    </row>
    <row r="144" spans="1:4" x14ac:dyDescent="0.3">
      <c r="A144" s="9" t="s">
        <v>3</v>
      </c>
      <c r="B144" s="9" t="s">
        <v>62</v>
      </c>
      <c r="C144" s="9" t="s">
        <v>101</v>
      </c>
      <c r="D144" s="9">
        <v>182</v>
      </c>
    </row>
    <row r="145" spans="1:4" x14ac:dyDescent="0.3">
      <c r="A145" s="9" t="s">
        <v>3</v>
      </c>
      <c r="B145" s="9" t="s">
        <v>63</v>
      </c>
      <c r="C145" s="9" t="s">
        <v>101</v>
      </c>
      <c r="D145" s="9">
        <v>97</v>
      </c>
    </row>
    <row r="146" spans="1:4" x14ac:dyDescent="0.3">
      <c r="A146" s="9" t="s">
        <v>3</v>
      </c>
      <c r="B146" s="9" t="s">
        <v>64</v>
      </c>
      <c r="C146" s="9" t="s">
        <v>101</v>
      </c>
      <c r="D146" s="9">
        <v>85</v>
      </c>
    </row>
    <row r="147" spans="1:4" x14ac:dyDescent="0.3">
      <c r="A147" s="9" t="s">
        <v>3</v>
      </c>
      <c r="B147" s="9" t="s">
        <v>77</v>
      </c>
      <c r="C147" s="9" t="s">
        <v>102</v>
      </c>
      <c r="D147" s="9">
        <v>2549</v>
      </c>
    </row>
    <row r="148" spans="1:4" x14ac:dyDescent="0.3">
      <c r="A148" s="9" t="s">
        <v>3</v>
      </c>
      <c r="B148" s="9" t="s">
        <v>65</v>
      </c>
      <c r="C148" s="9" t="s">
        <v>102</v>
      </c>
      <c r="D148" s="9">
        <v>1816</v>
      </c>
    </row>
    <row r="149" spans="1:4" x14ac:dyDescent="0.3">
      <c r="A149" s="9" t="s">
        <v>3</v>
      </c>
      <c r="B149" s="9" t="s">
        <v>66</v>
      </c>
      <c r="C149" s="9" t="s">
        <v>102</v>
      </c>
      <c r="D149" s="9">
        <v>475</v>
      </c>
    </row>
    <row r="150" spans="1:4" x14ac:dyDescent="0.3">
      <c r="A150" s="9" t="s">
        <v>3</v>
      </c>
      <c r="B150" s="9" t="s">
        <v>67</v>
      </c>
      <c r="C150" s="9" t="s">
        <v>102</v>
      </c>
      <c r="D150" s="9">
        <v>121</v>
      </c>
    </row>
    <row r="151" spans="1:4" x14ac:dyDescent="0.3">
      <c r="A151" s="9" t="s">
        <v>3</v>
      </c>
      <c r="B151" s="9" t="s">
        <v>68</v>
      </c>
      <c r="C151" s="9" t="s">
        <v>102</v>
      </c>
      <c r="D151" s="9">
        <v>12</v>
      </c>
    </row>
    <row r="152" spans="1:4" x14ac:dyDescent="0.3">
      <c r="A152" s="9" t="s">
        <v>3</v>
      </c>
      <c r="B152" s="9" t="s">
        <v>69</v>
      </c>
      <c r="C152" s="9" t="s">
        <v>102</v>
      </c>
      <c r="D152" s="9">
        <v>125</v>
      </c>
    </row>
    <row r="153" spans="1:4" x14ac:dyDescent="0.3">
      <c r="A153" s="9" t="s">
        <v>3</v>
      </c>
      <c r="B153" s="9" t="s">
        <v>70</v>
      </c>
      <c r="C153" s="9" t="s">
        <v>102</v>
      </c>
      <c r="D153" s="9">
        <v>0</v>
      </c>
    </row>
    <row r="154" spans="1:4" x14ac:dyDescent="0.3">
      <c r="A154" s="9" t="s">
        <v>3</v>
      </c>
      <c r="B154" s="9" t="s">
        <v>75</v>
      </c>
      <c r="C154" s="9" t="s">
        <v>103</v>
      </c>
      <c r="D154" s="9">
        <v>0</v>
      </c>
    </row>
    <row r="155" spans="1:4" x14ac:dyDescent="0.3">
      <c r="A155" s="9" t="s">
        <v>4</v>
      </c>
      <c r="B155" s="9" t="s">
        <v>88</v>
      </c>
      <c r="C155" s="9" t="s">
        <v>92</v>
      </c>
      <c r="D155" s="9">
        <v>4</v>
      </c>
    </row>
    <row r="156" spans="1:4" x14ac:dyDescent="0.3">
      <c r="A156" s="9" t="s">
        <v>4</v>
      </c>
      <c r="B156" s="9" t="s">
        <v>38</v>
      </c>
      <c r="C156" s="9" t="s">
        <v>93</v>
      </c>
      <c r="D156" s="9">
        <v>1143</v>
      </c>
    </row>
    <row r="157" spans="1:4" x14ac:dyDescent="0.3">
      <c r="A157" s="9" t="s">
        <v>4</v>
      </c>
      <c r="B157" s="9" t="s">
        <v>87</v>
      </c>
      <c r="C157" s="9" t="s">
        <v>94</v>
      </c>
      <c r="D157" s="9">
        <v>3</v>
      </c>
    </row>
    <row r="158" spans="1:4" x14ac:dyDescent="0.3">
      <c r="A158" s="9" t="s">
        <v>4</v>
      </c>
      <c r="B158" s="9" t="s">
        <v>86</v>
      </c>
      <c r="C158" s="9" t="s">
        <v>86</v>
      </c>
      <c r="D158" s="9">
        <v>0</v>
      </c>
    </row>
    <row r="159" spans="1:4" x14ac:dyDescent="0.3">
      <c r="A159" s="9" t="s">
        <v>4</v>
      </c>
      <c r="B159" s="9" t="s">
        <v>85</v>
      </c>
      <c r="C159" s="9" t="s">
        <v>85</v>
      </c>
      <c r="D159" s="9">
        <v>5</v>
      </c>
    </row>
    <row r="160" spans="1:4" x14ac:dyDescent="0.3">
      <c r="A160" s="9" t="s">
        <v>4</v>
      </c>
      <c r="B160" s="9" t="s">
        <v>84</v>
      </c>
      <c r="C160" s="9" t="s">
        <v>85</v>
      </c>
      <c r="D160" s="9">
        <v>0</v>
      </c>
    </row>
    <row r="161" spans="1:4" x14ac:dyDescent="0.3">
      <c r="A161" s="9" t="s">
        <v>4</v>
      </c>
      <c r="B161" s="9" t="s">
        <v>83</v>
      </c>
      <c r="C161" s="9" t="s">
        <v>95</v>
      </c>
      <c r="D161" s="9">
        <v>2032</v>
      </c>
    </row>
    <row r="162" spans="1:4" x14ac:dyDescent="0.3">
      <c r="A162" s="9" t="s">
        <v>4</v>
      </c>
      <c r="B162" s="9" t="s">
        <v>39</v>
      </c>
      <c r="C162" s="9" t="s">
        <v>40</v>
      </c>
      <c r="D162" s="9">
        <v>12136</v>
      </c>
    </row>
    <row r="163" spans="1:4" x14ac:dyDescent="0.3">
      <c r="A163" s="9" t="s">
        <v>4</v>
      </c>
      <c r="B163" s="9" t="s">
        <v>40</v>
      </c>
      <c r="C163" s="9" t="s">
        <v>40</v>
      </c>
      <c r="D163" s="9">
        <v>868</v>
      </c>
    </row>
    <row r="164" spans="1:4" x14ac:dyDescent="0.3">
      <c r="A164" s="9" t="s">
        <v>4</v>
      </c>
      <c r="B164" s="9" t="s">
        <v>41</v>
      </c>
      <c r="C164" s="9" t="s">
        <v>40</v>
      </c>
      <c r="D164" s="9">
        <v>6</v>
      </c>
    </row>
    <row r="165" spans="1:4" x14ac:dyDescent="0.3">
      <c r="A165" s="9" t="s">
        <v>4</v>
      </c>
      <c r="B165" s="9" t="s">
        <v>42</v>
      </c>
      <c r="C165" s="9" t="s">
        <v>40</v>
      </c>
      <c r="D165" s="9">
        <v>2</v>
      </c>
    </row>
    <row r="166" spans="1:4" x14ac:dyDescent="0.3">
      <c r="A166" s="9" t="s">
        <v>4</v>
      </c>
      <c r="B166" s="9" t="s">
        <v>43</v>
      </c>
      <c r="C166" s="9" t="s">
        <v>40</v>
      </c>
      <c r="D166" s="9">
        <v>9467</v>
      </c>
    </row>
    <row r="167" spans="1:4" x14ac:dyDescent="0.3">
      <c r="A167" s="9" t="s">
        <v>4</v>
      </c>
      <c r="B167" s="9" t="s">
        <v>44</v>
      </c>
      <c r="C167" s="9" t="s">
        <v>40</v>
      </c>
      <c r="D167" s="9">
        <v>4534</v>
      </c>
    </row>
    <row r="168" spans="1:4" x14ac:dyDescent="0.3">
      <c r="A168" s="9" t="s">
        <v>4</v>
      </c>
      <c r="B168" s="9" t="s">
        <v>45</v>
      </c>
      <c r="C168" s="9" t="s">
        <v>40</v>
      </c>
      <c r="D168" s="9">
        <v>4933</v>
      </c>
    </row>
    <row r="169" spans="1:4" x14ac:dyDescent="0.3">
      <c r="A169" s="9" t="s">
        <v>4</v>
      </c>
      <c r="B169" s="9" t="s">
        <v>71</v>
      </c>
      <c r="C169" s="9" t="s">
        <v>40</v>
      </c>
      <c r="D169" s="9">
        <v>0</v>
      </c>
    </row>
    <row r="170" spans="1:4" x14ac:dyDescent="0.3">
      <c r="A170" s="9" t="s">
        <v>4</v>
      </c>
      <c r="B170" s="9" t="s">
        <v>72</v>
      </c>
      <c r="C170" s="9" t="s">
        <v>40</v>
      </c>
      <c r="D170" s="9">
        <v>0</v>
      </c>
    </row>
    <row r="171" spans="1:4" x14ac:dyDescent="0.3">
      <c r="A171" s="9" t="s">
        <v>4</v>
      </c>
      <c r="B171" s="9" t="s">
        <v>82</v>
      </c>
      <c r="C171" s="9" t="s">
        <v>40</v>
      </c>
      <c r="D171" s="9">
        <v>1793</v>
      </c>
    </row>
    <row r="172" spans="1:4" x14ac:dyDescent="0.3">
      <c r="A172" s="9" t="s">
        <v>4</v>
      </c>
      <c r="B172" s="9" t="s">
        <v>81</v>
      </c>
      <c r="C172" s="9" t="s">
        <v>81</v>
      </c>
      <c r="D172" s="9">
        <v>28</v>
      </c>
    </row>
    <row r="173" spans="1:4" x14ac:dyDescent="0.3">
      <c r="A173" s="9" t="s">
        <v>4</v>
      </c>
      <c r="B173" s="9" t="s">
        <v>73</v>
      </c>
      <c r="C173" s="9" t="s">
        <v>81</v>
      </c>
      <c r="D173" s="9">
        <v>0</v>
      </c>
    </row>
    <row r="174" spans="1:4" x14ac:dyDescent="0.3">
      <c r="A174" s="9" t="s">
        <v>4</v>
      </c>
      <c r="B174" s="9" t="s">
        <v>80</v>
      </c>
      <c r="C174" s="9" t="s">
        <v>81</v>
      </c>
      <c r="D174" s="9">
        <v>0</v>
      </c>
    </row>
    <row r="175" spans="1:4" x14ac:dyDescent="0.3">
      <c r="A175" s="9" t="s">
        <v>4</v>
      </c>
      <c r="B175" s="9" t="s">
        <v>79</v>
      </c>
      <c r="C175" s="9" t="s">
        <v>96</v>
      </c>
      <c r="D175" s="9">
        <v>902</v>
      </c>
    </row>
    <row r="176" spans="1:4" x14ac:dyDescent="0.3">
      <c r="A176" s="9" t="s">
        <v>4</v>
      </c>
      <c r="B176" s="9" t="s">
        <v>46</v>
      </c>
      <c r="C176" s="9" t="s">
        <v>96</v>
      </c>
      <c r="D176" s="9">
        <v>902</v>
      </c>
    </row>
    <row r="177" spans="1:4" x14ac:dyDescent="0.3">
      <c r="A177" s="9" t="s">
        <v>4</v>
      </c>
      <c r="B177" s="9" t="s">
        <v>47</v>
      </c>
      <c r="C177" s="9" t="s">
        <v>96</v>
      </c>
      <c r="D177" s="9">
        <v>0</v>
      </c>
    </row>
    <row r="178" spans="1:4" x14ac:dyDescent="0.3">
      <c r="A178" s="9" t="s">
        <v>4</v>
      </c>
      <c r="B178" s="9" t="s">
        <v>48</v>
      </c>
      <c r="C178" s="9" t="s">
        <v>97</v>
      </c>
      <c r="D178" s="9">
        <v>47</v>
      </c>
    </row>
    <row r="179" spans="1:4" x14ac:dyDescent="0.3">
      <c r="A179" s="9" t="s">
        <v>4</v>
      </c>
      <c r="B179" s="9" t="s">
        <v>49</v>
      </c>
      <c r="C179" s="9" t="s">
        <v>97</v>
      </c>
      <c r="D179" s="9">
        <v>30</v>
      </c>
    </row>
    <row r="180" spans="1:4" x14ac:dyDescent="0.3">
      <c r="A180" s="9" t="s">
        <v>4</v>
      </c>
      <c r="B180" s="9" t="s">
        <v>50</v>
      </c>
      <c r="C180" s="9" t="s">
        <v>97</v>
      </c>
      <c r="D180" s="9">
        <v>17</v>
      </c>
    </row>
    <row r="181" spans="1:4" x14ac:dyDescent="0.3">
      <c r="A181" s="9" t="s">
        <v>4</v>
      </c>
      <c r="B181" s="9" t="s">
        <v>51</v>
      </c>
      <c r="C181" s="9" t="s">
        <v>99</v>
      </c>
      <c r="D181" s="9">
        <v>472</v>
      </c>
    </row>
    <row r="182" spans="1:4" x14ac:dyDescent="0.3">
      <c r="A182" s="9" t="s">
        <v>4</v>
      </c>
      <c r="B182" s="9" t="s">
        <v>52</v>
      </c>
      <c r="C182" s="9" t="s">
        <v>99</v>
      </c>
      <c r="D182" s="9">
        <v>465</v>
      </c>
    </row>
    <row r="183" spans="1:4" x14ac:dyDescent="0.3">
      <c r="A183" s="9" t="s">
        <v>4</v>
      </c>
      <c r="B183" s="9" t="s">
        <v>53</v>
      </c>
      <c r="C183" s="9" t="s">
        <v>99</v>
      </c>
      <c r="D183" s="9">
        <v>7</v>
      </c>
    </row>
    <row r="184" spans="1:4" x14ac:dyDescent="0.3">
      <c r="A184" s="9" t="s">
        <v>4</v>
      </c>
      <c r="B184" s="9" t="s">
        <v>54</v>
      </c>
      <c r="C184" s="9" t="s">
        <v>98</v>
      </c>
      <c r="D184" s="9">
        <v>47</v>
      </c>
    </row>
    <row r="185" spans="1:4" x14ac:dyDescent="0.3">
      <c r="A185" s="9" t="s">
        <v>4</v>
      </c>
      <c r="B185" s="9" t="s">
        <v>55</v>
      </c>
      <c r="C185" s="9" t="s">
        <v>98</v>
      </c>
      <c r="D185" s="9">
        <v>47</v>
      </c>
    </row>
    <row r="186" spans="1:4" x14ac:dyDescent="0.3">
      <c r="A186" s="9" t="s">
        <v>4</v>
      </c>
      <c r="B186" s="9" t="s">
        <v>56</v>
      </c>
      <c r="C186" s="9" t="s">
        <v>98</v>
      </c>
      <c r="D186" s="9">
        <v>0</v>
      </c>
    </row>
    <row r="187" spans="1:4" x14ac:dyDescent="0.3">
      <c r="A187" s="9" t="s">
        <v>4</v>
      </c>
      <c r="B187" s="9" t="s">
        <v>74</v>
      </c>
      <c r="C187" s="9" t="s">
        <v>74</v>
      </c>
      <c r="D187" s="9">
        <v>3665</v>
      </c>
    </row>
    <row r="188" spans="1:4" x14ac:dyDescent="0.3">
      <c r="A188" s="9" t="s">
        <v>4</v>
      </c>
      <c r="B188" s="9" t="s">
        <v>57</v>
      </c>
      <c r="C188" s="9" t="s">
        <v>100</v>
      </c>
      <c r="D188" s="9">
        <v>58</v>
      </c>
    </row>
    <row r="189" spans="1:4" x14ac:dyDescent="0.3">
      <c r="A189" s="9" t="s">
        <v>4</v>
      </c>
      <c r="B189" s="9" t="s">
        <v>76</v>
      </c>
      <c r="C189" s="9" t="s">
        <v>100</v>
      </c>
      <c r="D189" s="9">
        <v>29</v>
      </c>
    </row>
    <row r="190" spans="1:4" x14ac:dyDescent="0.3">
      <c r="A190" s="9" t="s">
        <v>4</v>
      </c>
      <c r="B190" s="9" t="s">
        <v>58</v>
      </c>
      <c r="C190" s="9" t="s">
        <v>100</v>
      </c>
      <c r="D190" s="9">
        <v>11</v>
      </c>
    </row>
    <row r="191" spans="1:4" x14ac:dyDescent="0.3">
      <c r="A191" s="9" t="s">
        <v>4</v>
      </c>
      <c r="B191" s="9" t="s">
        <v>59</v>
      </c>
      <c r="C191" s="9" t="s">
        <v>100</v>
      </c>
      <c r="D191" s="9">
        <v>2</v>
      </c>
    </row>
    <row r="192" spans="1:4" x14ac:dyDescent="0.3">
      <c r="A192" s="9" t="s">
        <v>4</v>
      </c>
      <c r="B192" s="9" t="s">
        <v>60</v>
      </c>
      <c r="C192" s="9" t="s">
        <v>100</v>
      </c>
      <c r="D192" s="9">
        <v>0</v>
      </c>
    </row>
    <row r="193" spans="1:4" x14ac:dyDescent="0.3">
      <c r="A193" s="9" t="s">
        <v>4</v>
      </c>
      <c r="B193" s="9" t="s">
        <v>61</v>
      </c>
      <c r="C193" s="9" t="s">
        <v>100</v>
      </c>
      <c r="D193" s="9">
        <v>16</v>
      </c>
    </row>
    <row r="194" spans="1:4" x14ac:dyDescent="0.3">
      <c r="A194" s="9" t="s">
        <v>4</v>
      </c>
      <c r="B194" s="9" t="s">
        <v>78</v>
      </c>
      <c r="C194" s="9" t="s">
        <v>95</v>
      </c>
      <c r="D194" s="9">
        <v>1</v>
      </c>
    </row>
    <row r="195" spans="1:4" x14ac:dyDescent="0.3">
      <c r="A195" s="9" t="s">
        <v>4</v>
      </c>
      <c r="B195" s="9" t="s">
        <v>62</v>
      </c>
      <c r="C195" s="9" t="s">
        <v>101</v>
      </c>
      <c r="D195" s="9">
        <v>100</v>
      </c>
    </row>
    <row r="196" spans="1:4" x14ac:dyDescent="0.3">
      <c r="A196" s="9" t="s">
        <v>4</v>
      </c>
      <c r="B196" s="9" t="s">
        <v>63</v>
      </c>
      <c r="C196" s="9" t="s">
        <v>101</v>
      </c>
      <c r="D196" s="9">
        <v>20</v>
      </c>
    </row>
    <row r="197" spans="1:4" x14ac:dyDescent="0.3">
      <c r="A197" s="9" t="s">
        <v>4</v>
      </c>
      <c r="B197" s="9" t="s">
        <v>64</v>
      </c>
      <c r="C197" s="9" t="s">
        <v>101</v>
      </c>
      <c r="D197" s="9">
        <v>80</v>
      </c>
    </row>
    <row r="198" spans="1:4" x14ac:dyDescent="0.3">
      <c r="A198" s="9" t="s">
        <v>4</v>
      </c>
      <c r="B198" s="9" t="s">
        <v>77</v>
      </c>
      <c r="C198" s="9" t="s">
        <v>102</v>
      </c>
      <c r="D198" s="9">
        <v>2307</v>
      </c>
    </row>
    <row r="199" spans="1:4" x14ac:dyDescent="0.3">
      <c r="A199" s="9" t="s">
        <v>4</v>
      </c>
      <c r="B199" s="9" t="s">
        <v>65</v>
      </c>
      <c r="C199" s="9" t="s">
        <v>102</v>
      </c>
      <c r="D199" s="9">
        <v>925</v>
      </c>
    </row>
    <row r="200" spans="1:4" x14ac:dyDescent="0.3">
      <c r="A200" s="9" t="s">
        <v>4</v>
      </c>
      <c r="B200" s="9" t="s">
        <v>66</v>
      </c>
      <c r="C200" s="9" t="s">
        <v>102</v>
      </c>
      <c r="D200" s="9">
        <v>844</v>
      </c>
    </row>
    <row r="201" spans="1:4" x14ac:dyDescent="0.3">
      <c r="A201" s="9" t="s">
        <v>4</v>
      </c>
      <c r="B201" s="9" t="s">
        <v>67</v>
      </c>
      <c r="C201" s="9" t="s">
        <v>102</v>
      </c>
      <c r="D201" s="9">
        <v>190</v>
      </c>
    </row>
    <row r="202" spans="1:4" x14ac:dyDescent="0.3">
      <c r="A202" s="9" t="s">
        <v>4</v>
      </c>
      <c r="B202" s="9" t="s">
        <v>68</v>
      </c>
      <c r="C202" s="9" t="s">
        <v>102</v>
      </c>
      <c r="D202" s="9">
        <v>345</v>
      </c>
    </row>
    <row r="203" spans="1:4" x14ac:dyDescent="0.3">
      <c r="A203" s="9" t="s">
        <v>4</v>
      </c>
      <c r="B203" s="9" t="s">
        <v>69</v>
      </c>
      <c r="C203" s="9" t="s">
        <v>102</v>
      </c>
      <c r="D203" s="9">
        <v>0</v>
      </c>
    </row>
    <row r="204" spans="1:4" x14ac:dyDescent="0.3">
      <c r="A204" s="9" t="s">
        <v>4</v>
      </c>
      <c r="B204" s="9" t="s">
        <v>70</v>
      </c>
      <c r="C204" s="9" t="s">
        <v>102</v>
      </c>
      <c r="D204" s="9">
        <v>3</v>
      </c>
    </row>
    <row r="205" spans="1:4" x14ac:dyDescent="0.3">
      <c r="A205" s="9" t="s">
        <v>4</v>
      </c>
      <c r="B205" s="9" t="s">
        <v>75</v>
      </c>
      <c r="C205" s="9" t="s">
        <v>103</v>
      </c>
      <c r="D205" s="9">
        <v>2</v>
      </c>
    </row>
    <row r="206" spans="1:4" x14ac:dyDescent="0.3">
      <c r="A206" s="9" t="s">
        <v>5</v>
      </c>
      <c r="B206" s="9" t="s">
        <v>88</v>
      </c>
      <c r="C206" s="9" t="s">
        <v>92</v>
      </c>
      <c r="D206" s="9">
        <v>5</v>
      </c>
    </row>
    <row r="207" spans="1:4" x14ac:dyDescent="0.3">
      <c r="A207" s="9" t="s">
        <v>5</v>
      </c>
      <c r="B207" s="9" t="s">
        <v>38</v>
      </c>
      <c r="C207" s="9" t="s">
        <v>93</v>
      </c>
      <c r="D207" s="9">
        <v>46</v>
      </c>
    </row>
    <row r="208" spans="1:4" x14ac:dyDescent="0.3">
      <c r="A208" s="9" t="s">
        <v>5</v>
      </c>
      <c r="B208" s="9" t="s">
        <v>87</v>
      </c>
      <c r="C208" s="9" t="s">
        <v>94</v>
      </c>
      <c r="D208" s="9">
        <v>122</v>
      </c>
    </row>
    <row r="209" spans="1:4" x14ac:dyDescent="0.3">
      <c r="A209" s="9" t="s">
        <v>5</v>
      </c>
      <c r="B209" s="9" t="s">
        <v>86</v>
      </c>
      <c r="C209" s="9" t="s">
        <v>86</v>
      </c>
      <c r="D209" s="9">
        <v>5</v>
      </c>
    </row>
    <row r="210" spans="1:4" x14ac:dyDescent="0.3">
      <c r="A210" s="9" t="s">
        <v>5</v>
      </c>
      <c r="B210" s="9" t="s">
        <v>85</v>
      </c>
      <c r="C210" s="9" t="s">
        <v>85</v>
      </c>
      <c r="D210" s="9">
        <v>1</v>
      </c>
    </row>
    <row r="211" spans="1:4" x14ac:dyDescent="0.3">
      <c r="A211" s="9" t="s">
        <v>5</v>
      </c>
      <c r="B211" s="9" t="s">
        <v>84</v>
      </c>
      <c r="C211" s="9" t="s">
        <v>85</v>
      </c>
      <c r="D211" s="9">
        <v>0</v>
      </c>
    </row>
    <row r="212" spans="1:4" x14ac:dyDescent="0.3">
      <c r="A212" s="9" t="s">
        <v>5</v>
      </c>
      <c r="B212" s="9" t="s">
        <v>83</v>
      </c>
      <c r="C212" s="9" t="s">
        <v>95</v>
      </c>
      <c r="D212" s="9">
        <v>755</v>
      </c>
    </row>
    <row r="213" spans="1:4" x14ac:dyDescent="0.3">
      <c r="A213" s="9" t="s">
        <v>5</v>
      </c>
      <c r="B213" s="9" t="s">
        <v>39</v>
      </c>
      <c r="C213" s="9" t="s">
        <v>40</v>
      </c>
      <c r="D213" s="9">
        <v>2440</v>
      </c>
    </row>
    <row r="214" spans="1:4" x14ac:dyDescent="0.3">
      <c r="A214" s="9" t="s">
        <v>5</v>
      </c>
      <c r="B214" s="9" t="s">
        <v>40</v>
      </c>
      <c r="C214" s="9" t="s">
        <v>40</v>
      </c>
      <c r="D214" s="9">
        <v>2345</v>
      </c>
    </row>
    <row r="215" spans="1:4" x14ac:dyDescent="0.3">
      <c r="A215" s="9" t="s">
        <v>5</v>
      </c>
      <c r="B215" s="9" t="s">
        <v>41</v>
      </c>
      <c r="C215" s="9" t="s">
        <v>40</v>
      </c>
      <c r="D215" s="9">
        <v>0</v>
      </c>
    </row>
    <row r="216" spans="1:4" x14ac:dyDescent="0.3">
      <c r="A216" s="9" t="s">
        <v>5</v>
      </c>
      <c r="B216" s="9" t="s">
        <v>42</v>
      </c>
      <c r="C216" s="9" t="s">
        <v>40</v>
      </c>
      <c r="D216" s="9">
        <v>0</v>
      </c>
    </row>
    <row r="217" spans="1:4" x14ac:dyDescent="0.3">
      <c r="A217" s="9" t="s">
        <v>5</v>
      </c>
      <c r="B217" s="9" t="s">
        <v>43</v>
      </c>
      <c r="C217" s="9" t="s">
        <v>40</v>
      </c>
      <c r="D217" s="9">
        <v>77</v>
      </c>
    </row>
    <row r="218" spans="1:4" x14ac:dyDescent="0.3">
      <c r="A218" s="9" t="s">
        <v>5</v>
      </c>
      <c r="B218" s="9" t="s">
        <v>44</v>
      </c>
      <c r="C218" s="9" t="s">
        <v>40</v>
      </c>
      <c r="D218" s="9">
        <v>1</v>
      </c>
    </row>
    <row r="219" spans="1:4" x14ac:dyDescent="0.3">
      <c r="A219" s="9" t="s">
        <v>5</v>
      </c>
      <c r="B219" s="9" t="s">
        <v>45</v>
      </c>
      <c r="C219" s="9" t="s">
        <v>40</v>
      </c>
      <c r="D219" s="9">
        <v>76</v>
      </c>
    </row>
    <row r="220" spans="1:4" x14ac:dyDescent="0.3">
      <c r="A220" s="9" t="s">
        <v>5</v>
      </c>
      <c r="B220" s="9" t="s">
        <v>71</v>
      </c>
      <c r="C220" s="9" t="s">
        <v>40</v>
      </c>
      <c r="D220" s="9">
        <v>1</v>
      </c>
    </row>
    <row r="221" spans="1:4" x14ac:dyDescent="0.3">
      <c r="A221" s="9" t="s">
        <v>5</v>
      </c>
      <c r="B221" s="9" t="s">
        <v>72</v>
      </c>
      <c r="C221" s="9" t="s">
        <v>40</v>
      </c>
      <c r="D221" s="9">
        <v>0</v>
      </c>
    </row>
    <row r="222" spans="1:4" x14ac:dyDescent="0.3">
      <c r="A222" s="9" t="s">
        <v>5</v>
      </c>
      <c r="B222" s="9" t="s">
        <v>82</v>
      </c>
      <c r="C222" s="9" t="s">
        <v>40</v>
      </c>
      <c r="D222" s="9">
        <v>17</v>
      </c>
    </row>
    <row r="223" spans="1:4" x14ac:dyDescent="0.3">
      <c r="A223" s="9" t="s">
        <v>5</v>
      </c>
      <c r="B223" s="9" t="s">
        <v>81</v>
      </c>
      <c r="C223" s="9" t="s">
        <v>81</v>
      </c>
      <c r="D223" s="9">
        <v>14</v>
      </c>
    </row>
    <row r="224" spans="1:4" x14ac:dyDescent="0.3">
      <c r="A224" s="9" t="s">
        <v>5</v>
      </c>
      <c r="B224" s="9" t="s">
        <v>73</v>
      </c>
      <c r="C224" s="9" t="s">
        <v>81</v>
      </c>
      <c r="D224" s="9">
        <v>0</v>
      </c>
    </row>
    <row r="225" spans="1:4" x14ac:dyDescent="0.3">
      <c r="A225" s="9" t="s">
        <v>5</v>
      </c>
      <c r="B225" s="9" t="s">
        <v>80</v>
      </c>
      <c r="C225" s="9" t="s">
        <v>81</v>
      </c>
      <c r="D225" s="9">
        <v>0</v>
      </c>
    </row>
    <row r="226" spans="1:4" x14ac:dyDescent="0.3">
      <c r="A226" s="9" t="s">
        <v>5</v>
      </c>
      <c r="B226" s="9" t="s">
        <v>79</v>
      </c>
      <c r="C226" s="9" t="s">
        <v>96</v>
      </c>
      <c r="D226" s="9">
        <v>1171</v>
      </c>
    </row>
    <row r="227" spans="1:4" x14ac:dyDescent="0.3">
      <c r="A227" s="9" t="s">
        <v>5</v>
      </c>
      <c r="B227" s="9" t="s">
        <v>46</v>
      </c>
      <c r="C227" s="9" t="s">
        <v>96</v>
      </c>
      <c r="D227" s="9">
        <v>1171</v>
      </c>
    </row>
    <row r="228" spans="1:4" x14ac:dyDescent="0.3">
      <c r="A228" s="9" t="s">
        <v>5</v>
      </c>
      <c r="B228" s="9" t="s">
        <v>47</v>
      </c>
      <c r="C228" s="9" t="s">
        <v>96</v>
      </c>
      <c r="D228" s="9">
        <v>0</v>
      </c>
    </row>
    <row r="229" spans="1:4" x14ac:dyDescent="0.3">
      <c r="A229" s="9" t="s">
        <v>5</v>
      </c>
      <c r="B229" s="9" t="s">
        <v>48</v>
      </c>
      <c r="C229" s="9" t="s">
        <v>97</v>
      </c>
      <c r="D229" s="9">
        <v>5</v>
      </c>
    </row>
    <row r="230" spans="1:4" x14ac:dyDescent="0.3">
      <c r="A230" s="9" t="s">
        <v>5</v>
      </c>
      <c r="B230" s="9" t="s">
        <v>49</v>
      </c>
      <c r="C230" s="9" t="s">
        <v>97</v>
      </c>
      <c r="D230" s="9">
        <v>1</v>
      </c>
    </row>
    <row r="231" spans="1:4" x14ac:dyDescent="0.3">
      <c r="A231" s="9" t="s">
        <v>5</v>
      </c>
      <c r="B231" s="9" t="s">
        <v>50</v>
      </c>
      <c r="C231" s="9" t="s">
        <v>97</v>
      </c>
      <c r="D231" s="9">
        <v>4</v>
      </c>
    </row>
    <row r="232" spans="1:4" x14ac:dyDescent="0.3">
      <c r="A232" s="9" t="s">
        <v>5</v>
      </c>
      <c r="B232" s="9" t="s">
        <v>51</v>
      </c>
      <c r="C232" s="9" t="s">
        <v>99</v>
      </c>
      <c r="D232" s="9">
        <v>1034</v>
      </c>
    </row>
    <row r="233" spans="1:4" x14ac:dyDescent="0.3">
      <c r="A233" s="9" t="s">
        <v>5</v>
      </c>
      <c r="B233" s="9" t="s">
        <v>52</v>
      </c>
      <c r="C233" s="9" t="s">
        <v>99</v>
      </c>
      <c r="D233" s="9">
        <v>1032</v>
      </c>
    </row>
    <row r="234" spans="1:4" x14ac:dyDescent="0.3">
      <c r="A234" s="9" t="s">
        <v>5</v>
      </c>
      <c r="B234" s="9" t="s">
        <v>53</v>
      </c>
      <c r="C234" s="9" t="s">
        <v>99</v>
      </c>
      <c r="D234" s="9">
        <v>2</v>
      </c>
    </row>
    <row r="235" spans="1:4" x14ac:dyDescent="0.3">
      <c r="A235" s="9" t="s">
        <v>5</v>
      </c>
      <c r="B235" s="9" t="s">
        <v>54</v>
      </c>
      <c r="C235" s="9" t="s">
        <v>98</v>
      </c>
      <c r="D235" s="9">
        <v>241</v>
      </c>
    </row>
    <row r="236" spans="1:4" x14ac:dyDescent="0.3">
      <c r="A236" s="9" t="s">
        <v>5</v>
      </c>
      <c r="B236" s="9" t="s">
        <v>55</v>
      </c>
      <c r="C236" s="9" t="s">
        <v>98</v>
      </c>
      <c r="D236" s="9">
        <v>239</v>
      </c>
    </row>
    <row r="237" spans="1:4" x14ac:dyDescent="0.3">
      <c r="A237" s="9" t="s">
        <v>5</v>
      </c>
      <c r="B237" s="9" t="s">
        <v>56</v>
      </c>
      <c r="C237" s="9" t="s">
        <v>98</v>
      </c>
      <c r="D237" s="9">
        <v>2</v>
      </c>
    </row>
    <row r="238" spans="1:4" x14ac:dyDescent="0.3">
      <c r="A238" s="9" t="s">
        <v>5</v>
      </c>
      <c r="B238" s="9" t="s">
        <v>74</v>
      </c>
      <c r="C238" s="9" t="s">
        <v>74</v>
      </c>
      <c r="D238" s="9">
        <v>8</v>
      </c>
    </row>
    <row r="239" spans="1:4" x14ac:dyDescent="0.3">
      <c r="A239" s="9" t="s">
        <v>5</v>
      </c>
      <c r="B239" s="9" t="s">
        <v>57</v>
      </c>
      <c r="C239" s="9" t="s">
        <v>100</v>
      </c>
      <c r="D239" s="9">
        <v>12</v>
      </c>
    </row>
    <row r="240" spans="1:4" x14ac:dyDescent="0.3">
      <c r="A240" s="9" t="s">
        <v>5</v>
      </c>
      <c r="B240" s="9" t="s">
        <v>76</v>
      </c>
      <c r="C240" s="9" t="s">
        <v>100</v>
      </c>
      <c r="D240" s="9">
        <v>0</v>
      </c>
    </row>
    <row r="241" spans="1:4" x14ac:dyDescent="0.3">
      <c r="A241" s="9" t="s">
        <v>5</v>
      </c>
      <c r="B241" s="9" t="s">
        <v>58</v>
      </c>
      <c r="C241" s="9" t="s">
        <v>100</v>
      </c>
      <c r="D241" s="9">
        <v>0</v>
      </c>
    </row>
    <row r="242" spans="1:4" x14ac:dyDescent="0.3">
      <c r="A242" s="9" t="s">
        <v>5</v>
      </c>
      <c r="B242" s="9" t="s">
        <v>59</v>
      </c>
      <c r="C242" s="9" t="s">
        <v>100</v>
      </c>
      <c r="D242" s="9">
        <v>11</v>
      </c>
    </row>
    <row r="243" spans="1:4" x14ac:dyDescent="0.3">
      <c r="A243" s="9" t="s">
        <v>5</v>
      </c>
      <c r="B243" s="9" t="s">
        <v>60</v>
      </c>
      <c r="C243" s="9" t="s">
        <v>100</v>
      </c>
      <c r="D243" s="9">
        <v>0</v>
      </c>
    </row>
    <row r="244" spans="1:4" x14ac:dyDescent="0.3">
      <c r="A244" s="9" t="s">
        <v>5</v>
      </c>
      <c r="B244" s="9" t="s">
        <v>61</v>
      </c>
      <c r="C244" s="9" t="s">
        <v>100</v>
      </c>
      <c r="D244" s="9">
        <v>1</v>
      </c>
    </row>
    <row r="245" spans="1:4" x14ac:dyDescent="0.3">
      <c r="A245" s="9" t="s">
        <v>5</v>
      </c>
      <c r="B245" s="9" t="s">
        <v>78</v>
      </c>
      <c r="C245" s="9" t="s">
        <v>95</v>
      </c>
      <c r="D245" s="9">
        <v>0</v>
      </c>
    </row>
    <row r="246" spans="1:4" x14ac:dyDescent="0.3">
      <c r="A246" s="9" t="s">
        <v>5</v>
      </c>
      <c r="B246" s="9" t="s">
        <v>62</v>
      </c>
      <c r="C246" s="9" t="s">
        <v>101</v>
      </c>
      <c r="D246" s="9">
        <v>198</v>
      </c>
    </row>
    <row r="247" spans="1:4" x14ac:dyDescent="0.3">
      <c r="A247" s="9" t="s">
        <v>5</v>
      </c>
      <c r="B247" s="9" t="s">
        <v>63</v>
      </c>
      <c r="C247" s="9" t="s">
        <v>101</v>
      </c>
      <c r="D247" s="9">
        <v>195</v>
      </c>
    </row>
    <row r="248" spans="1:4" x14ac:dyDescent="0.3">
      <c r="A248" s="9" t="s">
        <v>5</v>
      </c>
      <c r="B248" s="9" t="s">
        <v>64</v>
      </c>
      <c r="C248" s="9" t="s">
        <v>101</v>
      </c>
      <c r="D248" s="9">
        <v>3</v>
      </c>
    </row>
    <row r="249" spans="1:4" x14ac:dyDescent="0.3">
      <c r="A249" s="9" t="s">
        <v>5</v>
      </c>
      <c r="B249" s="9" t="s">
        <v>77</v>
      </c>
      <c r="C249" s="9" t="s">
        <v>102</v>
      </c>
      <c r="D249" s="9">
        <v>1978</v>
      </c>
    </row>
    <row r="250" spans="1:4" x14ac:dyDescent="0.3">
      <c r="A250" s="9" t="s">
        <v>5</v>
      </c>
      <c r="B250" s="9" t="s">
        <v>65</v>
      </c>
      <c r="C250" s="9" t="s">
        <v>102</v>
      </c>
      <c r="D250" s="9">
        <v>1503</v>
      </c>
    </row>
    <row r="251" spans="1:4" x14ac:dyDescent="0.3">
      <c r="A251" s="9" t="s">
        <v>5</v>
      </c>
      <c r="B251" s="9" t="s">
        <v>66</v>
      </c>
      <c r="C251" s="9" t="s">
        <v>102</v>
      </c>
      <c r="D251" s="9">
        <v>441</v>
      </c>
    </row>
    <row r="252" spans="1:4" x14ac:dyDescent="0.3">
      <c r="A252" s="9" t="s">
        <v>5</v>
      </c>
      <c r="B252" s="9" t="s">
        <v>67</v>
      </c>
      <c r="C252" s="9" t="s">
        <v>102</v>
      </c>
      <c r="D252" s="9">
        <v>25</v>
      </c>
    </row>
    <row r="253" spans="1:4" x14ac:dyDescent="0.3">
      <c r="A253" s="9" t="s">
        <v>5</v>
      </c>
      <c r="B253" s="9" t="s">
        <v>68</v>
      </c>
      <c r="C253" s="9" t="s">
        <v>102</v>
      </c>
      <c r="D253" s="9">
        <v>6</v>
      </c>
    </row>
    <row r="254" spans="1:4" x14ac:dyDescent="0.3">
      <c r="A254" s="9" t="s">
        <v>5</v>
      </c>
      <c r="B254" s="9" t="s">
        <v>69</v>
      </c>
      <c r="C254" s="9" t="s">
        <v>102</v>
      </c>
      <c r="D254" s="9">
        <v>2</v>
      </c>
    </row>
    <row r="255" spans="1:4" x14ac:dyDescent="0.3">
      <c r="A255" s="9" t="s">
        <v>5</v>
      </c>
      <c r="B255" s="9" t="s">
        <v>70</v>
      </c>
      <c r="C255" s="9" t="s">
        <v>102</v>
      </c>
      <c r="D255" s="9">
        <v>1</v>
      </c>
    </row>
    <row r="256" spans="1:4" x14ac:dyDescent="0.3">
      <c r="A256" s="9" t="s">
        <v>5</v>
      </c>
      <c r="B256" s="9" t="s">
        <v>75</v>
      </c>
      <c r="C256" s="9" t="s">
        <v>103</v>
      </c>
      <c r="D256" s="9">
        <v>0</v>
      </c>
    </row>
    <row r="257" spans="1:4" x14ac:dyDescent="0.3">
      <c r="A257" s="9" t="s">
        <v>6</v>
      </c>
      <c r="B257" s="9" t="s">
        <v>88</v>
      </c>
      <c r="C257" s="9" t="s">
        <v>92</v>
      </c>
      <c r="D257" s="9">
        <v>0</v>
      </c>
    </row>
    <row r="258" spans="1:4" x14ac:dyDescent="0.3">
      <c r="A258" s="9" t="s">
        <v>6</v>
      </c>
      <c r="B258" s="9" t="s">
        <v>38</v>
      </c>
      <c r="C258" s="9" t="s">
        <v>93</v>
      </c>
      <c r="D258" s="9">
        <v>1</v>
      </c>
    </row>
    <row r="259" spans="1:4" x14ac:dyDescent="0.3">
      <c r="A259" s="9" t="s">
        <v>6</v>
      </c>
      <c r="B259" s="9" t="s">
        <v>87</v>
      </c>
      <c r="C259" s="9" t="s">
        <v>94</v>
      </c>
      <c r="D259" s="9">
        <v>3</v>
      </c>
    </row>
    <row r="260" spans="1:4" x14ac:dyDescent="0.3">
      <c r="A260" s="9" t="s">
        <v>6</v>
      </c>
      <c r="B260" s="9" t="s">
        <v>86</v>
      </c>
      <c r="C260" s="9" t="s">
        <v>86</v>
      </c>
      <c r="D260" s="9">
        <v>0</v>
      </c>
    </row>
    <row r="261" spans="1:4" x14ac:dyDescent="0.3">
      <c r="A261" s="9" t="s">
        <v>6</v>
      </c>
      <c r="B261" s="9" t="s">
        <v>85</v>
      </c>
      <c r="C261" s="9" t="s">
        <v>85</v>
      </c>
      <c r="D261" s="9">
        <v>0</v>
      </c>
    </row>
    <row r="262" spans="1:4" x14ac:dyDescent="0.3">
      <c r="A262" s="9" t="s">
        <v>6</v>
      </c>
      <c r="B262" s="9" t="s">
        <v>84</v>
      </c>
      <c r="C262" s="9" t="s">
        <v>85</v>
      </c>
      <c r="D262" s="9">
        <v>0</v>
      </c>
    </row>
    <row r="263" spans="1:4" x14ac:dyDescent="0.3">
      <c r="A263" s="9" t="s">
        <v>6</v>
      </c>
      <c r="B263" s="9" t="s">
        <v>83</v>
      </c>
      <c r="C263" s="9" t="s">
        <v>95</v>
      </c>
      <c r="D263" s="9">
        <v>0</v>
      </c>
    </row>
    <row r="264" spans="1:4" x14ac:dyDescent="0.3">
      <c r="A264" s="9" t="s">
        <v>6</v>
      </c>
      <c r="B264" s="9" t="s">
        <v>39</v>
      </c>
      <c r="C264" s="9" t="s">
        <v>40</v>
      </c>
      <c r="D264" s="9">
        <v>51</v>
      </c>
    </row>
    <row r="265" spans="1:4" x14ac:dyDescent="0.3">
      <c r="A265" s="9" t="s">
        <v>6</v>
      </c>
      <c r="B265" s="9" t="s">
        <v>40</v>
      </c>
      <c r="C265" s="9" t="s">
        <v>40</v>
      </c>
      <c r="D265" s="9">
        <v>41</v>
      </c>
    </row>
    <row r="266" spans="1:4" x14ac:dyDescent="0.3">
      <c r="A266" s="9" t="s">
        <v>6</v>
      </c>
      <c r="B266" s="9" t="s">
        <v>41</v>
      </c>
      <c r="C266" s="9" t="s">
        <v>40</v>
      </c>
      <c r="D266" s="9">
        <v>0</v>
      </c>
    </row>
    <row r="267" spans="1:4" x14ac:dyDescent="0.3">
      <c r="A267" s="9" t="s">
        <v>6</v>
      </c>
      <c r="B267" s="9" t="s">
        <v>42</v>
      </c>
      <c r="C267" s="9" t="s">
        <v>40</v>
      </c>
      <c r="D267" s="9">
        <v>0</v>
      </c>
    </row>
    <row r="268" spans="1:4" x14ac:dyDescent="0.3">
      <c r="A268" s="9" t="s">
        <v>6</v>
      </c>
      <c r="B268" s="9" t="s">
        <v>43</v>
      </c>
      <c r="C268" s="9" t="s">
        <v>40</v>
      </c>
      <c r="D268" s="9">
        <v>0</v>
      </c>
    </row>
    <row r="269" spans="1:4" x14ac:dyDescent="0.3">
      <c r="A269" s="9" t="s">
        <v>6</v>
      </c>
      <c r="B269" s="9" t="s">
        <v>44</v>
      </c>
      <c r="C269" s="9" t="s">
        <v>40</v>
      </c>
      <c r="D269" s="9">
        <v>0</v>
      </c>
    </row>
    <row r="270" spans="1:4" x14ac:dyDescent="0.3">
      <c r="A270" s="9" t="s">
        <v>6</v>
      </c>
      <c r="B270" s="9" t="s">
        <v>45</v>
      </c>
      <c r="C270" s="9" t="s">
        <v>40</v>
      </c>
      <c r="D270" s="9">
        <v>0</v>
      </c>
    </row>
    <row r="271" spans="1:4" x14ac:dyDescent="0.3">
      <c r="A271" s="9" t="s">
        <v>6</v>
      </c>
      <c r="B271" s="9" t="s">
        <v>71</v>
      </c>
      <c r="C271" s="9" t="s">
        <v>40</v>
      </c>
      <c r="D271" s="9">
        <v>0</v>
      </c>
    </row>
    <row r="272" spans="1:4" x14ac:dyDescent="0.3">
      <c r="A272" s="9" t="s">
        <v>6</v>
      </c>
      <c r="B272" s="9" t="s">
        <v>72</v>
      </c>
      <c r="C272" s="9" t="s">
        <v>40</v>
      </c>
      <c r="D272" s="9">
        <v>0</v>
      </c>
    </row>
    <row r="273" spans="1:4" x14ac:dyDescent="0.3">
      <c r="A273" s="9" t="s">
        <v>6</v>
      </c>
      <c r="B273" s="9" t="s">
        <v>82</v>
      </c>
      <c r="C273" s="9" t="s">
        <v>40</v>
      </c>
      <c r="D273" s="9">
        <v>10</v>
      </c>
    </row>
    <row r="274" spans="1:4" x14ac:dyDescent="0.3">
      <c r="A274" s="9" t="s">
        <v>6</v>
      </c>
      <c r="B274" s="9" t="s">
        <v>81</v>
      </c>
      <c r="C274" s="9" t="s">
        <v>81</v>
      </c>
      <c r="D274" s="9">
        <v>8</v>
      </c>
    </row>
    <row r="275" spans="1:4" x14ac:dyDescent="0.3">
      <c r="A275" s="9" t="s">
        <v>6</v>
      </c>
      <c r="B275" s="9" t="s">
        <v>73</v>
      </c>
      <c r="C275" s="9" t="s">
        <v>81</v>
      </c>
      <c r="D275" s="9">
        <v>0</v>
      </c>
    </row>
    <row r="276" spans="1:4" x14ac:dyDescent="0.3">
      <c r="A276" s="9" t="s">
        <v>6</v>
      </c>
      <c r="B276" s="9" t="s">
        <v>80</v>
      </c>
      <c r="C276" s="9" t="s">
        <v>81</v>
      </c>
      <c r="D276" s="9">
        <v>0</v>
      </c>
    </row>
    <row r="277" spans="1:4" x14ac:dyDescent="0.3">
      <c r="A277" s="9" t="s">
        <v>6</v>
      </c>
      <c r="B277" s="9" t="s">
        <v>79</v>
      </c>
      <c r="C277" s="9" t="s">
        <v>96</v>
      </c>
      <c r="D277" s="9">
        <v>97</v>
      </c>
    </row>
    <row r="278" spans="1:4" x14ac:dyDescent="0.3">
      <c r="A278" s="9" t="s">
        <v>6</v>
      </c>
      <c r="B278" s="9" t="s">
        <v>46</v>
      </c>
      <c r="C278" s="9" t="s">
        <v>96</v>
      </c>
      <c r="D278" s="9">
        <v>35</v>
      </c>
    </row>
    <row r="279" spans="1:4" x14ac:dyDescent="0.3">
      <c r="A279" s="9" t="s">
        <v>6</v>
      </c>
      <c r="B279" s="9" t="s">
        <v>47</v>
      </c>
      <c r="C279" s="9" t="s">
        <v>96</v>
      </c>
      <c r="D279" s="9">
        <v>62</v>
      </c>
    </row>
    <row r="280" spans="1:4" x14ac:dyDescent="0.3">
      <c r="A280" s="9" t="s">
        <v>6</v>
      </c>
      <c r="B280" s="9" t="s">
        <v>48</v>
      </c>
      <c r="C280" s="9" t="s">
        <v>97</v>
      </c>
      <c r="D280" s="9">
        <v>0</v>
      </c>
    </row>
    <row r="281" spans="1:4" x14ac:dyDescent="0.3">
      <c r="A281" s="9" t="s">
        <v>6</v>
      </c>
      <c r="B281" s="9" t="s">
        <v>49</v>
      </c>
      <c r="C281" s="9" t="s">
        <v>97</v>
      </c>
      <c r="D281" s="9">
        <v>0</v>
      </c>
    </row>
    <row r="282" spans="1:4" x14ac:dyDescent="0.3">
      <c r="A282" s="9" t="s">
        <v>6</v>
      </c>
      <c r="B282" s="9" t="s">
        <v>50</v>
      </c>
      <c r="C282" s="9" t="s">
        <v>97</v>
      </c>
      <c r="D282" s="9">
        <v>0</v>
      </c>
    </row>
    <row r="283" spans="1:4" x14ac:dyDescent="0.3">
      <c r="A283" s="9" t="s">
        <v>6</v>
      </c>
      <c r="B283" s="9" t="s">
        <v>51</v>
      </c>
      <c r="C283" s="9" t="s">
        <v>99</v>
      </c>
      <c r="D283" s="9">
        <v>96</v>
      </c>
    </row>
    <row r="284" spans="1:4" x14ac:dyDescent="0.3">
      <c r="A284" s="9" t="s">
        <v>6</v>
      </c>
      <c r="B284" s="9" t="s">
        <v>52</v>
      </c>
      <c r="C284" s="9" t="s">
        <v>99</v>
      </c>
      <c r="D284" s="9">
        <v>75</v>
      </c>
    </row>
    <row r="285" spans="1:4" x14ac:dyDescent="0.3">
      <c r="A285" s="9" t="s">
        <v>6</v>
      </c>
      <c r="B285" s="9" t="s">
        <v>53</v>
      </c>
      <c r="C285" s="9" t="s">
        <v>99</v>
      </c>
      <c r="D285" s="9">
        <v>21</v>
      </c>
    </row>
    <row r="286" spans="1:4" x14ac:dyDescent="0.3">
      <c r="A286" s="9" t="s">
        <v>6</v>
      </c>
      <c r="B286" s="9" t="s">
        <v>54</v>
      </c>
      <c r="C286" s="9" t="s">
        <v>98</v>
      </c>
      <c r="D286" s="9">
        <v>21</v>
      </c>
    </row>
    <row r="287" spans="1:4" x14ac:dyDescent="0.3">
      <c r="A287" s="9" t="s">
        <v>6</v>
      </c>
      <c r="B287" s="9" t="s">
        <v>55</v>
      </c>
      <c r="C287" s="9" t="s">
        <v>98</v>
      </c>
      <c r="D287" s="9">
        <v>20</v>
      </c>
    </row>
    <row r="288" spans="1:4" x14ac:dyDescent="0.3">
      <c r="A288" s="9" t="s">
        <v>6</v>
      </c>
      <c r="B288" s="9" t="s">
        <v>56</v>
      </c>
      <c r="C288" s="9" t="s">
        <v>98</v>
      </c>
      <c r="D288" s="9">
        <v>1</v>
      </c>
    </row>
    <row r="289" spans="1:4" x14ac:dyDescent="0.3">
      <c r="A289" s="9" t="s">
        <v>6</v>
      </c>
      <c r="B289" s="9" t="s">
        <v>74</v>
      </c>
      <c r="C289" s="9" t="s">
        <v>74</v>
      </c>
      <c r="D289" s="9">
        <v>0</v>
      </c>
    </row>
    <row r="290" spans="1:4" x14ac:dyDescent="0.3">
      <c r="A290" s="9" t="s">
        <v>6</v>
      </c>
      <c r="B290" s="9" t="s">
        <v>57</v>
      </c>
      <c r="C290" s="9" t="s">
        <v>100</v>
      </c>
      <c r="D290" s="9">
        <v>0</v>
      </c>
    </row>
    <row r="291" spans="1:4" x14ac:dyDescent="0.3">
      <c r="A291" s="9" t="s">
        <v>6</v>
      </c>
      <c r="B291" s="9" t="s">
        <v>76</v>
      </c>
      <c r="C291" s="9" t="s">
        <v>100</v>
      </c>
      <c r="D291" s="9">
        <v>0</v>
      </c>
    </row>
    <row r="292" spans="1:4" x14ac:dyDescent="0.3">
      <c r="A292" s="9" t="s">
        <v>6</v>
      </c>
      <c r="B292" s="9" t="s">
        <v>58</v>
      </c>
      <c r="C292" s="9" t="s">
        <v>100</v>
      </c>
      <c r="D292" s="9">
        <v>0</v>
      </c>
    </row>
    <row r="293" spans="1:4" x14ac:dyDescent="0.3">
      <c r="A293" s="9" t="s">
        <v>6</v>
      </c>
      <c r="B293" s="9" t="s">
        <v>59</v>
      </c>
      <c r="C293" s="9" t="s">
        <v>100</v>
      </c>
      <c r="D293" s="9">
        <v>0</v>
      </c>
    </row>
    <row r="294" spans="1:4" x14ac:dyDescent="0.3">
      <c r="A294" s="9" t="s">
        <v>6</v>
      </c>
      <c r="B294" s="9" t="s">
        <v>60</v>
      </c>
      <c r="C294" s="9" t="s">
        <v>100</v>
      </c>
      <c r="D294" s="9">
        <v>0</v>
      </c>
    </row>
    <row r="295" spans="1:4" x14ac:dyDescent="0.3">
      <c r="A295" s="9" t="s">
        <v>6</v>
      </c>
      <c r="B295" s="9" t="s">
        <v>61</v>
      </c>
      <c r="C295" s="9" t="s">
        <v>100</v>
      </c>
      <c r="D295" s="9">
        <v>0</v>
      </c>
    </row>
    <row r="296" spans="1:4" x14ac:dyDescent="0.3">
      <c r="A296" s="9" t="s">
        <v>6</v>
      </c>
      <c r="B296" s="9" t="s">
        <v>78</v>
      </c>
      <c r="C296" s="9" t="s">
        <v>95</v>
      </c>
      <c r="D296" s="9">
        <v>0</v>
      </c>
    </row>
    <row r="297" spans="1:4" x14ac:dyDescent="0.3">
      <c r="A297" s="9" t="s">
        <v>6</v>
      </c>
      <c r="B297" s="9" t="s">
        <v>62</v>
      </c>
      <c r="C297" s="9" t="s">
        <v>101</v>
      </c>
      <c r="D297" s="9">
        <v>9</v>
      </c>
    </row>
    <row r="298" spans="1:4" x14ac:dyDescent="0.3">
      <c r="A298" s="9" t="s">
        <v>6</v>
      </c>
      <c r="B298" s="9" t="s">
        <v>63</v>
      </c>
      <c r="C298" s="9" t="s">
        <v>101</v>
      </c>
      <c r="D298" s="9">
        <v>8</v>
      </c>
    </row>
    <row r="299" spans="1:4" x14ac:dyDescent="0.3">
      <c r="A299" s="9" t="s">
        <v>6</v>
      </c>
      <c r="B299" s="9" t="s">
        <v>64</v>
      </c>
      <c r="C299" s="9" t="s">
        <v>101</v>
      </c>
      <c r="D299" s="9">
        <v>1</v>
      </c>
    </row>
    <row r="300" spans="1:4" x14ac:dyDescent="0.3">
      <c r="A300" s="9" t="s">
        <v>6</v>
      </c>
      <c r="B300" s="9" t="s">
        <v>77</v>
      </c>
      <c r="C300" s="9" t="s">
        <v>102</v>
      </c>
      <c r="D300" s="9">
        <v>0</v>
      </c>
    </row>
    <row r="301" spans="1:4" x14ac:dyDescent="0.3">
      <c r="A301" s="9" t="s">
        <v>6</v>
      </c>
      <c r="B301" s="9" t="s">
        <v>65</v>
      </c>
      <c r="C301" s="9" t="s">
        <v>102</v>
      </c>
      <c r="D301" s="9">
        <v>0</v>
      </c>
    </row>
    <row r="302" spans="1:4" x14ac:dyDescent="0.3">
      <c r="A302" s="9" t="s">
        <v>6</v>
      </c>
      <c r="B302" s="9" t="s">
        <v>66</v>
      </c>
      <c r="C302" s="9" t="s">
        <v>102</v>
      </c>
      <c r="D302" s="9">
        <v>0</v>
      </c>
    </row>
    <row r="303" spans="1:4" x14ac:dyDescent="0.3">
      <c r="A303" s="9" t="s">
        <v>6</v>
      </c>
      <c r="B303" s="9" t="s">
        <v>67</v>
      </c>
      <c r="C303" s="9" t="s">
        <v>102</v>
      </c>
      <c r="D303" s="9">
        <v>0</v>
      </c>
    </row>
    <row r="304" spans="1:4" x14ac:dyDescent="0.3">
      <c r="A304" s="9" t="s">
        <v>6</v>
      </c>
      <c r="B304" s="9" t="s">
        <v>68</v>
      </c>
      <c r="C304" s="9" t="s">
        <v>102</v>
      </c>
      <c r="D304" s="9">
        <v>0</v>
      </c>
    </row>
    <row r="305" spans="1:4" x14ac:dyDescent="0.3">
      <c r="A305" s="9" t="s">
        <v>6</v>
      </c>
      <c r="B305" s="9" t="s">
        <v>69</v>
      </c>
      <c r="C305" s="9" t="s">
        <v>102</v>
      </c>
      <c r="D305" s="9">
        <v>0</v>
      </c>
    </row>
    <row r="306" spans="1:4" x14ac:dyDescent="0.3">
      <c r="A306" s="9" t="s">
        <v>6</v>
      </c>
      <c r="B306" s="9" t="s">
        <v>70</v>
      </c>
      <c r="C306" s="9" t="s">
        <v>102</v>
      </c>
      <c r="D306" s="9">
        <v>0</v>
      </c>
    </row>
    <row r="307" spans="1:4" x14ac:dyDescent="0.3">
      <c r="A307" s="9" t="s">
        <v>6</v>
      </c>
      <c r="B307" s="9" t="s">
        <v>75</v>
      </c>
      <c r="C307" s="9" t="s">
        <v>103</v>
      </c>
      <c r="D307" s="9">
        <v>0</v>
      </c>
    </row>
    <row r="308" spans="1:4" x14ac:dyDescent="0.3">
      <c r="A308" s="9" t="s">
        <v>7</v>
      </c>
      <c r="B308" s="9" t="s">
        <v>88</v>
      </c>
      <c r="C308" s="9" t="s">
        <v>92</v>
      </c>
      <c r="D308" s="9">
        <v>7</v>
      </c>
    </row>
    <row r="309" spans="1:4" x14ac:dyDescent="0.3">
      <c r="A309" s="9" t="s">
        <v>7</v>
      </c>
      <c r="B309" s="9" t="s">
        <v>38</v>
      </c>
      <c r="C309" s="9" t="s">
        <v>93</v>
      </c>
      <c r="D309" s="9">
        <v>12</v>
      </c>
    </row>
    <row r="310" spans="1:4" x14ac:dyDescent="0.3">
      <c r="A310" s="9" t="s">
        <v>7</v>
      </c>
      <c r="B310" s="9" t="s">
        <v>87</v>
      </c>
      <c r="C310" s="9" t="s">
        <v>94</v>
      </c>
      <c r="D310" s="9">
        <v>318</v>
      </c>
    </row>
    <row r="311" spans="1:4" x14ac:dyDescent="0.3">
      <c r="A311" s="9" t="s">
        <v>7</v>
      </c>
      <c r="B311" s="9" t="s">
        <v>86</v>
      </c>
      <c r="C311" s="9" t="s">
        <v>86</v>
      </c>
      <c r="D311" s="9">
        <v>5</v>
      </c>
    </row>
    <row r="312" spans="1:4" x14ac:dyDescent="0.3">
      <c r="A312" s="9" t="s">
        <v>7</v>
      </c>
      <c r="B312" s="9" t="s">
        <v>85</v>
      </c>
      <c r="C312" s="9" t="s">
        <v>85</v>
      </c>
      <c r="D312" s="9">
        <v>2</v>
      </c>
    </row>
    <row r="313" spans="1:4" x14ac:dyDescent="0.3">
      <c r="A313" s="9" t="s">
        <v>7</v>
      </c>
      <c r="B313" s="9" t="s">
        <v>84</v>
      </c>
      <c r="C313" s="9" t="s">
        <v>85</v>
      </c>
      <c r="D313" s="9">
        <v>1</v>
      </c>
    </row>
    <row r="314" spans="1:4" x14ac:dyDescent="0.3">
      <c r="A314" s="9" t="s">
        <v>7</v>
      </c>
      <c r="B314" s="9" t="s">
        <v>83</v>
      </c>
      <c r="C314" s="9" t="s">
        <v>95</v>
      </c>
      <c r="D314" s="9">
        <v>2176</v>
      </c>
    </row>
    <row r="315" spans="1:4" x14ac:dyDescent="0.3">
      <c r="A315" s="9" t="s">
        <v>7</v>
      </c>
      <c r="B315" s="9" t="s">
        <v>39</v>
      </c>
      <c r="C315" s="9" t="s">
        <v>40</v>
      </c>
      <c r="D315" s="9">
        <v>1257</v>
      </c>
    </row>
    <row r="316" spans="1:4" x14ac:dyDescent="0.3">
      <c r="A316" s="9" t="s">
        <v>7</v>
      </c>
      <c r="B316" s="9" t="s">
        <v>40</v>
      </c>
      <c r="C316" s="9" t="s">
        <v>40</v>
      </c>
      <c r="D316" s="9">
        <v>646</v>
      </c>
    </row>
    <row r="317" spans="1:4" x14ac:dyDescent="0.3">
      <c r="A317" s="9" t="s">
        <v>7</v>
      </c>
      <c r="B317" s="9" t="s">
        <v>41</v>
      </c>
      <c r="C317" s="9" t="s">
        <v>40</v>
      </c>
      <c r="D317" s="9">
        <v>0</v>
      </c>
    </row>
    <row r="318" spans="1:4" x14ac:dyDescent="0.3">
      <c r="A318" s="9" t="s">
        <v>7</v>
      </c>
      <c r="B318" s="9" t="s">
        <v>42</v>
      </c>
      <c r="C318" s="9" t="s">
        <v>40</v>
      </c>
      <c r="D318" s="9">
        <v>1</v>
      </c>
    </row>
    <row r="319" spans="1:4" x14ac:dyDescent="0.3">
      <c r="A319" s="9" t="s">
        <v>7</v>
      </c>
      <c r="B319" s="9" t="s">
        <v>43</v>
      </c>
      <c r="C319" s="9" t="s">
        <v>40</v>
      </c>
      <c r="D319" s="9">
        <v>567</v>
      </c>
    </row>
    <row r="320" spans="1:4" x14ac:dyDescent="0.3">
      <c r="A320" s="9" t="s">
        <v>7</v>
      </c>
      <c r="B320" s="9" t="s">
        <v>44</v>
      </c>
      <c r="C320" s="9" t="s">
        <v>40</v>
      </c>
      <c r="D320" s="9">
        <v>43</v>
      </c>
    </row>
    <row r="321" spans="1:4" x14ac:dyDescent="0.3">
      <c r="A321" s="9" t="s">
        <v>7</v>
      </c>
      <c r="B321" s="9" t="s">
        <v>45</v>
      </c>
      <c r="C321" s="9" t="s">
        <v>40</v>
      </c>
      <c r="D321" s="9">
        <v>524</v>
      </c>
    </row>
    <row r="322" spans="1:4" x14ac:dyDescent="0.3">
      <c r="A322" s="9" t="s">
        <v>7</v>
      </c>
      <c r="B322" s="9" t="s">
        <v>71</v>
      </c>
      <c r="C322" s="9" t="s">
        <v>40</v>
      </c>
      <c r="D322" s="9">
        <v>1</v>
      </c>
    </row>
    <row r="323" spans="1:4" x14ac:dyDescent="0.3">
      <c r="A323" s="9" t="s">
        <v>7</v>
      </c>
      <c r="B323" s="9" t="s">
        <v>72</v>
      </c>
      <c r="C323" s="9" t="s">
        <v>40</v>
      </c>
      <c r="D323" s="9">
        <v>0</v>
      </c>
    </row>
    <row r="324" spans="1:4" x14ac:dyDescent="0.3">
      <c r="A324" s="9" t="s">
        <v>7</v>
      </c>
      <c r="B324" s="9" t="s">
        <v>82</v>
      </c>
      <c r="C324" s="9" t="s">
        <v>40</v>
      </c>
      <c r="D324" s="9">
        <v>42</v>
      </c>
    </row>
    <row r="325" spans="1:4" x14ac:dyDescent="0.3">
      <c r="A325" s="9" t="s">
        <v>7</v>
      </c>
      <c r="B325" s="9" t="s">
        <v>81</v>
      </c>
      <c r="C325" s="9" t="s">
        <v>81</v>
      </c>
      <c r="D325" s="9">
        <v>3</v>
      </c>
    </row>
    <row r="326" spans="1:4" x14ac:dyDescent="0.3">
      <c r="A326" s="9" t="s">
        <v>7</v>
      </c>
      <c r="B326" s="9" t="s">
        <v>73</v>
      </c>
      <c r="C326" s="9" t="s">
        <v>81</v>
      </c>
      <c r="D326" s="9">
        <v>0</v>
      </c>
    </row>
    <row r="327" spans="1:4" x14ac:dyDescent="0.3">
      <c r="A327" s="9" t="s">
        <v>7</v>
      </c>
      <c r="B327" s="9" t="s">
        <v>80</v>
      </c>
      <c r="C327" s="9" t="s">
        <v>81</v>
      </c>
      <c r="D327" s="9">
        <v>0</v>
      </c>
    </row>
    <row r="328" spans="1:4" x14ac:dyDescent="0.3">
      <c r="A328" s="9" t="s">
        <v>7</v>
      </c>
      <c r="B328" s="9" t="s">
        <v>79</v>
      </c>
      <c r="C328" s="9" t="s">
        <v>96</v>
      </c>
      <c r="D328" s="9">
        <v>634</v>
      </c>
    </row>
    <row r="329" spans="1:4" x14ac:dyDescent="0.3">
      <c r="A329" s="9" t="s">
        <v>7</v>
      </c>
      <c r="B329" s="9" t="s">
        <v>46</v>
      </c>
      <c r="C329" s="9" t="s">
        <v>96</v>
      </c>
      <c r="D329" s="9">
        <v>632</v>
      </c>
    </row>
    <row r="330" spans="1:4" x14ac:dyDescent="0.3">
      <c r="A330" s="9" t="s">
        <v>7</v>
      </c>
      <c r="B330" s="9" t="s">
        <v>47</v>
      </c>
      <c r="C330" s="9" t="s">
        <v>96</v>
      </c>
      <c r="D330" s="9">
        <v>2</v>
      </c>
    </row>
    <row r="331" spans="1:4" x14ac:dyDescent="0.3">
      <c r="A331" s="9" t="s">
        <v>7</v>
      </c>
      <c r="B331" s="9" t="s">
        <v>48</v>
      </c>
      <c r="C331" s="9" t="s">
        <v>97</v>
      </c>
      <c r="D331" s="9">
        <v>0</v>
      </c>
    </row>
    <row r="332" spans="1:4" x14ac:dyDescent="0.3">
      <c r="A332" s="9" t="s">
        <v>7</v>
      </c>
      <c r="B332" s="9" t="s">
        <v>49</v>
      </c>
      <c r="C332" s="9" t="s">
        <v>97</v>
      </c>
      <c r="D332" s="9">
        <v>0</v>
      </c>
    </row>
    <row r="333" spans="1:4" x14ac:dyDescent="0.3">
      <c r="A333" s="9" t="s">
        <v>7</v>
      </c>
      <c r="B333" s="9" t="s">
        <v>50</v>
      </c>
      <c r="C333" s="9" t="s">
        <v>97</v>
      </c>
      <c r="D333" s="9">
        <v>0</v>
      </c>
    </row>
    <row r="334" spans="1:4" x14ac:dyDescent="0.3">
      <c r="A334" s="9" t="s">
        <v>7</v>
      </c>
      <c r="B334" s="9" t="s">
        <v>51</v>
      </c>
      <c r="C334" s="9" t="s">
        <v>99</v>
      </c>
      <c r="D334" s="9">
        <v>688</v>
      </c>
    </row>
    <row r="335" spans="1:4" x14ac:dyDescent="0.3">
      <c r="A335" s="9" t="s">
        <v>7</v>
      </c>
      <c r="B335" s="9" t="s">
        <v>52</v>
      </c>
      <c r="C335" s="9" t="s">
        <v>99</v>
      </c>
      <c r="D335" s="9">
        <v>622</v>
      </c>
    </row>
    <row r="336" spans="1:4" x14ac:dyDescent="0.3">
      <c r="A336" s="9" t="s">
        <v>7</v>
      </c>
      <c r="B336" s="9" t="s">
        <v>53</v>
      </c>
      <c r="C336" s="9" t="s">
        <v>99</v>
      </c>
      <c r="D336" s="9">
        <v>66</v>
      </c>
    </row>
    <row r="337" spans="1:4" x14ac:dyDescent="0.3">
      <c r="A337" s="9" t="s">
        <v>7</v>
      </c>
      <c r="B337" s="9" t="s">
        <v>54</v>
      </c>
      <c r="C337" s="9" t="s">
        <v>98</v>
      </c>
      <c r="D337" s="9">
        <v>15</v>
      </c>
    </row>
    <row r="338" spans="1:4" x14ac:dyDescent="0.3">
      <c r="A338" s="9" t="s">
        <v>7</v>
      </c>
      <c r="B338" s="9" t="s">
        <v>55</v>
      </c>
      <c r="C338" s="9" t="s">
        <v>98</v>
      </c>
      <c r="D338" s="9">
        <v>15</v>
      </c>
    </row>
    <row r="339" spans="1:4" x14ac:dyDescent="0.3">
      <c r="A339" s="9" t="s">
        <v>7</v>
      </c>
      <c r="B339" s="9" t="s">
        <v>56</v>
      </c>
      <c r="C339" s="9" t="s">
        <v>98</v>
      </c>
      <c r="D339" s="9">
        <v>0</v>
      </c>
    </row>
    <row r="340" spans="1:4" x14ac:dyDescent="0.3">
      <c r="A340" s="9" t="s">
        <v>7</v>
      </c>
      <c r="B340" s="9" t="s">
        <v>74</v>
      </c>
      <c r="C340" s="9" t="s">
        <v>74</v>
      </c>
      <c r="D340" s="9">
        <v>3</v>
      </c>
    </row>
    <row r="341" spans="1:4" x14ac:dyDescent="0.3">
      <c r="A341" s="9" t="s">
        <v>7</v>
      </c>
      <c r="B341" s="9" t="s">
        <v>57</v>
      </c>
      <c r="C341" s="9" t="s">
        <v>100</v>
      </c>
      <c r="D341" s="9">
        <v>80</v>
      </c>
    </row>
    <row r="342" spans="1:4" x14ac:dyDescent="0.3">
      <c r="A342" s="9" t="s">
        <v>7</v>
      </c>
      <c r="B342" s="9" t="s">
        <v>76</v>
      </c>
      <c r="C342" s="9" t="s">
        <v>100</v>
      </c>
      <c r="D342" s="9">
        <v>6</v>
      </c>
    </row>
    <row r="343" spans="1:4" x14ac:dyDescent="0.3">
      <c r="A343" s="9" t="s">
        <v>7</v>
      </c>
      <c r="B343" s="9" t="s">
        <v>58</v>
      </c>
      <c r="C343" s="9" t="s">
        <v>100</v>
      </c>
      <c r="D343" s="9">
        <v>22</v>
      </c>
    </row>
    <row r="344" spans="1:4" x14ac:dyDescent="0.3">
      <c r="A344" s="9" t="s">
        <v>7</v>
      </c>
      <c r="B344" s="9" t="s">
        <v>59</v>
      </c>
      <c r="C344" s="9" t="s">
        <v>100</v>
      </c>
      <c r="D344" s="9">
        <v>42</v>
      </c>
    </row>
    <row r="345" spans="1:4" x14ac:dyDescent="0.3">
      <c r="A345" s="9" t="s">
        <v>7</v>
      </c>
      <c r="B345" s="9" t="s">
        <v>60</v>
      </c>
      <c r="C345" s="9" t="s">
        <v>100</v>
      </c>
      <c r="D345" s="9">
        <v>1</v>
      </c>
    </row>
    <row r="346" spans="1:4" x14ac:dyDescent="0.3">
      <c r="A346" s="9" t="s">
        <v>7</v>
      </c>
      <c r="B346" s="9" t="s">
        <v>61</v>
      </c>
      <c r="C346" s="9" t="s">
        <v>100</v>
      </c>
      <c r="D346" s="9">
        <v>9</v>
      </c>
    </row>
    <row r="347" spans="1:4" x14ac:dyDescent="0.3">
      <c r="A347" s="9" t="s">
        <v>7</v>
      </c>
      <c r="B347" s="9" t="s">
        <v>78</v>
      </c>
      <c r="C347" s="9" t="s">
        <v>95</v>
      </c>
      <c r="D347" s="9">
        <v>2</v>
      </c>
    </row>
    <row r="348" spans="1:4" x14ac:dyDescent="0.3">
      <c r="A348" s="9" t="s">
        <v>7</v>
      </c>
      <c r="B348" s="9" t="s">
        <v>62</v>
      </c>
      <c r="C348" s="9" t="s">
        <v>101</v>
      </c>
      <c r="D348" s="9">
        <v>54</v>
      </c>
    </row>
    <row r="349" spans="1:4" x14ac:dyDescent="0.3">
      <c r="A349" s="9" t="s">
        <v>7</v>
      </c>
      <c r="B349" s="9" t="s">
        <v>63</v>
      </c>
      <c r="C349" s="9" t="s">
        <v>101</v>
      </c>
      <c r="D349" s="9">
        <v>45</v>
      </c>
    </row>
    <row r="350" spans="1:4" x14ac:dyDescent="0.3">
      <c r="A350" s="9" t="s">
        <v>7</v>
      </c>
      <c r="B350" s="9" t="s">
        <v>64</v>
      </c>
      <c r="C350" s="9" t="s">
        <v>101</v>
      </c>
      <c r="D350" s="9">
        <v>9</v>
      </c>
    </row>
    <row r="351" spans="1:4" x14ac:dyDescent="0.3">
      <c r="A351" s="9" t="s">
        <v>7</v>
      </c>
      <c r="B351" s="9" t="s">
        <v>77</v>
      </c>
      <c r="C351" s="9" t="s">
        <v>102</v>
      </c>
      <c r="D351" s="9">
        <v>2548</v>
      </c>
    </row>
    <row r="352" spans="1:4" x14ac:dyDescent="0.3">
      <c r="A352" s="9" t="s">
        <v>7</v>
      </c>
      <c r="B352" s="9" t="s">
        <v>65</v>
      </c>
      <c r="C352" s="9" t="s">
        <v>102</v>
      </c>
      <c r="D352" s="9">
        <v>2279</v>
      </c>
    </row>
    <row r="353" spans="1:4" x14ac:dyDescent="0.3">
      <c r="A353" s="9" t="s">
        <v>7</v>
      </c>
      <c r="B353" s="9" t="s">
        <v>66</v>
      </c>
      <c r="C353" s="9" t="s">
        <v>102</v>
      </c>
      <c r="D353" s="9">
        <v>232</v>
      </c>
    </row>
    <row r="354" spans="1:4" x14ac:dyDescent="0.3">
      <c r="A354" s="9" t="s">
        <v>7</v>
      </c>
      <c r="B354" s="9" t="s">
        <v>67</v>
      </c>
      <c r="C354" s="9" t="s">
        <v>102</v>
      </c>
      <c r="D354" s="9">
        <v>25</v>
      </c>
    </row>
    <row r="355" spans="1:4" x14ac:dyDescent="0.3">
      <c r="A355" s="9" t="s">
        <v>7</v>
      </c>
      <c r="B355" s="9" t="s">
        <v>68</v>
      </c>
      <c r="C355" s="9" t="s">
        <v>102</v>
      </c>
      <c r="D355" s="9">
        <v>6</v>
      </c>
    </row>
    <row r="356" spans="1:4" x14ac:dyDescent="0.3">
      <c r="A356" s="9" t="s">
        <v>7</v>
      </c>
      <c r="B356" s="9" t="s">
        <v>69</v>
      </c>
      <c r="C356" s="9" t="s">
        <v>102</v>
      </c>
      <c r="D356" s="9">
        <v>5</v>
      </c>
    </row>
    <row r="357" spans="1:4" x14ac:dyDescent="0.3">
      <c r="A357" s="9" t="s">
        <v>7</v>
      </c>
      <c r="B357" s="9" t="s">
        <v>70</v>
      </c>
      <c r="C357" s="9" t="s">
        <v>102</v>
      </c>
      <c r="D357" s="9">
        <v>1</v>
      </c>
    </row>
    <row r="358" spans="1:4" x14ac:dyDescent="0.3">
      <c r="A358" s="9" t="s">
        <v>7</v>
      </c>
      <c r="B358" s="9" t="s">
        <v>75</v>
      </c>
      <c r="C358" s="9" t="s">
        <v>103</v>
      </c>
      <c r="D358" s="9">
        <v>0</v>
      </c>
    </row>
    <row r="359" spans="1:4" x14ac:dyDescent="0.3">
      <c r="A359" s="9" t="s">
        <v>8</v>
      </c>
      <c r="B359" s="9" t="s">
        <v>88</v>
      </c>
      <c r="C359" s="9" t="s">
        <v>92</v>
      </c>
      <c r="D359" s="9">
        <v>9</v>
      </c>
    </row>
    <row r="360" spans="1:4" x14ac:dyDescent="0.3">
      <c r="A360" s="9" t="s">
        <v>8</v>
      </c>
      <c r="B360" s="9" t="s">
        <v>38</v>
      </c>
      <c r="C360" s="9" t="s">
        <v>93</v>
      </c>
      <c r="D360" s="9">
        <v>207</v>
      </c>
    </row>
    <row r="361" spans="1:4" x14ac:dyDescent="0.3">
      <c r="A361" s="9" t="s">
        <v>8</v>
      </c>
      <c r="B361" s="9" t="s">
        <v>87</v>
      </c>
      <c r="C361" s="9" t="s">
        <v>94</v>
      </c>
      <c r="D361" s="9">
        <v>178</v>
      </c>
    </row>
    <row r="362" spans="1:4" x14ac:dyDescent="0.3">
      <c r="A362" s="9" t="s">
        <v>8</v>
      </c>
      <c r="B362" s="9" t="s">
        <v>86</v>
      </c>
      <c r="C362" s="9" t="s">
        <v>86</v>
      </c>
      <c r="D362" s="9">
        <v>50</v>
      </c>
    </row>
    <row r="363" spans="1:4" x14ac:dyDescent="0.3">
      <c r="A363" s="9" t="s">
        <v>8</v>
      </c>
      <c r="B363" s="9" t="s">
        <v>85</v>
      </c>
      <c r="C363" s="9" t="s">
        <v>85</v>
      </c>
      <c r="D363" s="9">
        <v>3</v>
      </c>
    </row>
    <row r="364" spans="1:4" x14ac:dyDescent="0.3">
      <c r="A364" s="9" t="s">
        <v>8</v>
      </c>
      <c r="B364" s="9" t="s">
        <v>84</v>
      </c>
      <c r="C364" s="9" t="s">
        <v>85</v>
      </c>
      <c r="D364" s="9">
        <v>1</v>
      </c>
    </row>
    <row r="365" spans="1:4" x14ac:dyDescent="0.3">
      <c r="A365" s="9" t="s">
        <v>8</v>
      </c>
      <c r="B365" s="9" t="s">
        <v>83</v>
      </c>
      <c r="C365" s="9" t="s">
        <v>95</v>
      </c>
      <c r="D365" s="9">
        <v>5191</v>
      </c>
    </row>
    <row r="366" spans="1:4" x14ac:dyDescent="0.3">
      <c r="A366" s="9" t="s">
        <v>8</v>
      </c>
      <c r="B366" s="9" t="s">
        <v>39</v>
      </c>
      <c r="C366" s="9" t="s">
        <v>40</v>
      </c>
      <c r="D366" s="9">
        <v>3204</v>
      </c>
    </row>
    <row r="367" spans="1:4" x14ac:dyDescent="0.3">
      <c r="A367" s="9" t="s">
        <v>8</v>
      </c>
      <c r="B367" s="9" t="s">
        <v>40</v>
      </c>
      <c r="C367" s="9" t="s">
        <v>40</v>
      </c>
      <c r="D367" s="9">
        <v>366</v>
      </c>
    </row>
    <row r="368" spans="1:4" x14ac:dyDescent="0.3">
      <c r="A368" s="9" t="s">
        <v>8</v>
      </c>
      <c r="B368" s="9" t="s">
        <v>41</v>
      </c>
      <c r="C368" s="9" t="s">
        <v>40</v>
      </c>
      <c r="D368" s="9">
        <v>3</v>
      </c>
    </row>
    <row r="369" spans="1:4" x14ac:dyDescent="0.3">
      <c r="A369" s="9" t="s">
        <v>8</v>
      </c>
      <c r="B369" s="9" t="s">
        <v>42</v>
      </c>
      <c r="C369" s="9" t="s">
        <v>40</v>
      </c>
      <c r="D369" s="9">
        <v>0</v>
      </c>
    </row>
    <row r="370" spans="1:4" x14ac:dyDescent="0.3">
      <c r="A370" s="9" t="s">
        <v>8</v>
      </c>
      <c r="B370" s="9" t="s">
        <v>43</v>
      </c>
      <c r="C370" s="9" t="s">
        <v>40</v>
      </c>
      <c r="D370" s="9">
        <v>968</v>
      </c>
    </row>
    <row r="371" spans="1:4" x14ac:dyDescent="0.3">
      <c r="A371" s="9" t="s">
        <v>8</v>
      </c>
      <c r="B371" s="9" t="s">
        <v>44</v>
      </c>
      <c r="C371" s="9" t="s">
        <v>40</v>
      </c>
      <c r="D371" s="9">
        <v>656</v>
      </c>
    </row>
    <row r="372" spans="1:4" x14ac:dyDescent="0.3">
      <c r="A372" s="9" t="s">
        <v>8</v>
      </c>
      <c r="B372" s="9" t="s">
        <v>45</v>
      </c>
      <c r="C372" s="9" t="s">
        <v>40</v>
      </c>
      <c r="D372" s="9">
        <v>312</v>
      </c>
    </row>
    <row r="373" spans="1:4" x14ac:dyDescent="0.3">
      <c r="A373" s="9" t="s">
        <v>8</v>
      </c>
      <c r="B373" s="9" t="s">
        <v>71</v>
      </c>
      <c r="C373" s="9" t="s">
        <v>40</v>
      </c>
      <c r="D373" s="9">
        <v>788</v>
      </c>
    </row>
    <row r="374" spans="1:4" x14ac:dyDescent="0.3">
      <c r="A374" s="9" t="s">
        <v>8</v>
      </c>
      <c r="B374" s="9" t="s">
        <v>72</v>
      </c>
      <c r="C374" s="9" t="s">
        <v>40</v>
      </c>
      <c r="D374" s="9">
        <v>0</v>
      </c>
    </row>
    <row r="375" spans="1:4" x14ac:dyDescent="0.3">
      <c r="A375" s="9" t="s">
        <v>8</v>
      </c>
      <c r="B375" s="9" t="s">
        <v>82</v>
      </c>
      <c r="C375" s="9" t="s">
        <v>40</v>
      </c>
      <c r="D375" s="9">
        <v>1079</v>
      </c>
    </row>
    <row r="376" spans="1:4" x14ac:dyDescent="0.3">
      <c r="A376" s="9" t="s">
        <v>8</v>
      </c>
      <c r="B376" s="9" t="s">
        <v>81</v>
      </c>
      <c r="C376" s="9" t="s">
        <v>81</v>
      </c>
      <c r="D376" s="9">
        <v>32</v>
      </c>
    </row>
    <row r="377" spans="1:4" x14ac:dyDescent="0.3">
      <c r="A377" s="9" t="s">
        <v>8</v>
      </c>
      <c r="B377" s="9" t="s">
        <v>73</v>
      </c>
      <c r="C377" s="9" t="s">
        <v>81</v>
      </c>
      <c r="D377" s="9">
        <v>0</v>
      </c>
    </row>
    <row r="378" spans="1:4" x14ac:dyDescent="0.3">
      <c r="A378" s="9" t="s">
        <v>8</v>
      </c>
      <c r="B378" s="9" t="s">
        <v>80</v>
      </c>
      <c r="C378" s="9" t="s">
        <v>81</v>
      </c>
      <c r="D378" s="9">
        <v>0</v>
      </c>
    </row>
    <row r="379" spans="1:4" x14ac:dyDescent="0.3">
      <c r="A379" s="9" t="s">
        <v>8</v>
      </c>
      <c r="B379" s="9" t="s">
        <v>79</v>
      </c>
      <c r="C379" s="9" t="s">
        <v>96</v>
      </c>
      <c r="D379" s="9">
        <v>1772</v>
      </c>
    </row>
    <row r="380" spans="1:4" x14ac:dyDescent="0.3">
      <c r="A380" s="9" t="s">
        <v>8</v>
      </c>
      <c r="B380" s="9" t="s">
        <v>46</v>
      </c>
      <c r="C380" s="9" t="s">
        <v>96</v>
      </c>
      <c r="D380" s="9">
        <v>1769</v>
      </c>
    </row>
    <row r="381" spans="1:4" x14ac:dyDescent="0.3">
      <c r="A381" s="9" t="s">
        <v>8</v>
      </c>
      <c r="B381" s="9" t="s">
        <v>47</v>
      </c>
      <c r="C381" s="9" t="s">
        <v>96</v>
      </c>
      <c r="D381" s="9">
        <v>3</v>
      </c>
    </row>
    <row r="382" spans="1:4" x14ac:dyDescent="0.3">
      <c r="A382" s="9" t="s">
        <v>8</v>
      </c>
      <c r="B382" s="9" t="s">
        <v>48</v>
      </c>
      <c r="C382" s="9" t="s">
        <v>97</v>
      </c>
      <c r="D382" s="9">
        <v>199</v>
      </c>
    </row>
    <row r="383" spans="1:4" x14ac:dyDescent="0.3">
      <c r="A383" s="9" t="s">
        <v>8</v>
      </c>
      <c r="B383" s="9" t="s">
        <v>49</v>
      </c>
      <c r="C383" s="9" t="s">
        <v>97</v>
      </c>
      <c r="D383" s="9">
        <v>199</v>
      </c>
    </row>
    <row r="384" spans="1:4" x14ac:dyDescent="0.3">
      <c r="A384" s="9" t="s">
        <v>8</v>
      </c>
      <c r="B384" s="9" t="s">
        <v>50</v>
      </c>
      <c r="C384" s="9" t="s">
        <v>97</v>
      </c>
      <c r="D384" s="9">
        <v>0</v>
      </c>
    </row>
    <row r="385" spans="1:4" x14ac:dyDescent="0.3">
      <c r="A385" s="9" t="s">
        <v>8</v>
      </c>
      <c r="B385" s="9" t="s">
        <v>51</v>
      </c>
      <c r="C385" s="9" t="s">
        <v>99</v>
      </c>
      <c r="D385" s="9">
        <v>2265</v>
      </c>
    </row>
    <row r="386" spans="1:4" x14ac:dyDescent="0.3">
      <c r="A386" s="9" t="s">
        <v>8</v>
      </c>
      <c r="B386" s="9" t="s">
        <v>52</v>
      </c>
      <c r="C386" s="9" t="s">
        <v>99</v>
      </c>
      <c r="D386" s="9">
        <v>2239</v>
      </c>
    </row>
    <row r="387" spans="1:4" x14ac:dyDescent="0.3">
      <c r="A387" s="9" t="s">
        <v>8</v>
      </c>
      <c r="B387" s="9" t="s">
        <v>53</v>
      </c>
      <c r="C387" s="9" t="s">
        <v>99</v>
      </c>
      <c r="D387" s="9">
        <v>26</v>
      </c>
    </row>
    <row r="388" spans="1:4" x14ac:dyDescent="0.3">
      <c r="A388" s="9" t="s">
        <v>8</v>
      </c>
      <c r="B388" s="9" t="s">
        <v>54</v>
      </c>
      <c r="C388" s="9" t="s">
        <v>98</v>
      </c>
      <c r="D388" s="9">
        <v>443</v>
      </c>
    </row>
    <row r="389" spans="1:4" x14ac:dyDescent="0.3">
      <c r="A389" s="9" t="s">
        <v>8</v>
      </c>
      <c r="B389" s="9" t="s">
        <v>55</v>
      </c>
      <c r="C389" s="9" t="s">
        <v>98</v>
      </c>
      <c r="D389" s="9">
        <v>442</v>
      </c>
    </row>
    <row r="390" spans="1:4" x14ac:dyDescent="0.3">
      <c r="A390" s="9" t="s">
        <v>8</v>
      </c>
      <c r="B390" s="9" t="s">
        <v>56</v>
      </c>
      <c r="C390" s="9" t="s">
        <v>98</v>
      </c>
      <c r="D390" s="9">
        <v>1</v>
      </c>
    </row>
    <row r="391" spans="1:4" x14ac:dyDescent="0.3">
      <c r="A391" s="9" t="s">
        <v>8</v>
      </c>
      <c r="B391" s="9" t="s">
        <v>74</v>
      </c>
      <c r="C391" s="9" t="s">
        <v>74</v>
      </c>
      <c r="D391" s="9">
        <v>14</v>
      </c>
    </row>
    <row r="392" spans="1:4" x14ac:dyDescent="0.3">
      <c r="A392" s="9" t="s">
        <v>8</v>
      </c>
      <c r="B392" s="9" t="s">
        <v>57</v>
      </c>
      <c r="C392" s="9" t="s">
        <v>100</v>
      </c>
      <c r="D392" s="9">
        <v>38</v>
      </c>
    </row>
    <row r="393" spans="1:4" x14ac:dyDescent="0.3">
      <c r="A393" s="9" t="s">
        <v>8</v>
      </c>
      <c r="B393" s="9" t="s">
        <v>76</v>
      </c>
      <c r="C393" s="9" t="s">
        <v>100</v>
      </c>
      <c r="D393" s="9">
        <v>11</v>
      </c>
    </row>
    <row r="394" spans="1:4" x14ac:dyDescent="0.3">
      <c r="A394" s="9" t="s">
        <v>8</v>
      </c>
      <c r="B394" s="9" t="s">
        <v>58</v>
      </c>
      <c r="C394" s="9" t="s">
        <v>100</v>
      </c>
      <c r="D394" s="9">
        <v>2</v>
      </c>
    </row>
    <row r="395" spans="1:4" x14ac:dyDescent="0.3">
      <c r="A395" s="9" t="s">
        <v>8</v>
      </c>
      <c r="B395" s="9" t="s">
        <v>59</v>
      </c>
      <c r="C395" s="9" t="s">
        <v>100</v>
      </c>
      <c r="D395" s="9">
        <v>9</v>
      </c>
    </row>
    <row r="396" spans="1:4" x14ac:dyDescent="0.3">
      <c r="A396" s="9" t="s">
        <v>8</v>
      </c>
      <c r="B396" s="9" t="s">
        <v>60</v>
      </c>
      <c r="C396" s="9" t="s">
        <v>100</v>
      </c>
      <c r="D396" s="9">
        <v>0</v>
      </c>
    </row>
    <row r="397" spans="1:4" x14ac:dyDescent="0.3">
      <c r="A397" s="9" t="s">
        <v>8</v>
      </c>
      <c r="B397" s="9" t="s">
        <v>61</v>
      </c>
      <c r="C397" s="9" t="s">
        <v>100</v>
      </c>
      <c r="D397" s="9">
        <v>16</v>
      </c>
    </row>
    <row r="398" spans="1:4" x14ac:dyDescent="0.3">
      <c r="A398" s="9" t="s">
        <v>8</v>
      </c>
      <c r="B398" s="9" t="s">
        <v>78</v>
      </c>
      <c r="C398" s="9" t="s">
        <v>95</v>
      </c>
      <c r="D398" s="9">
        <v>5</v>
      </c>
    </row>
    <row r="399" spans="1:4" x14ac:dyDescent="0.3">
      <c r="A399" s="9" t="s">
        <v>8</v>
      </c>
      <c r="B399" s="9" t="s">
        <v>62</v>
      </c>
      <c r="C399" s="9" t="s">
        <v>101</v>
      </c>
      <c r="D399" s="9">
        <v>103</v>
      </c>
    </row>
    <row r="400" spans="1:4" x14ac:dyDescent="0.3">
      <c r="A400" s="9" t="s">
        <v>8</v>
      </c>
      <c r="B400" s="9" t="s">
        <v>63</v>
      </c>
      <c r="C400" s="9" t="s">
        <v>101</v>
      </c>
      <c r="D400" s="9">
        <v>96</v>
      </c>
    </row>
    <row r="401" spans="1:4" x14ac:dyDescent="0.3">
      <c r="A401" s="9" t="s">
        <v>8</v>
      </c>
      <c r="B401" s="9" t="s">
        <v>64</v>
      </c>
      <c r="C401" s="9" t="s">
        <v>101</v>
      </c>
      <c r="D401" s="9">
        <v>7</v>
      </c>
    </row>
    <row r="402" spans="1:4" x14ac:dyDescent="0.3">
      <c r="A402" s="9" t="s">
        <v>8</v>
      </c>
      <c r="B402" s="9" t="s">
        <v>77</v>
      </c>
      <c r="C402" s="9" t="s">
        <v>102</v>
      </c>
      <c r="D402" s="9">
        <v>2044</v>
      </c>
    </row>
    <row r="403" spans="1:4" x14ac:dyDescent="0.3">
      <c r="A403" s="9" t="s">
        <v>8</v>
      </c>
      <c r="B403" s="9" t="s">
        <v>65</v>
      </c>
      <c r="C403" s="9" t="s">
        <v>102</v>
      </c>
      <c r="D403" s="9">
        <v>1372</v>
      </c>
    </row>
    <row r="404" spans="1:4" x14ac:dyDescent="0.3">
      <c r="A404" s="9" t="s">
        <v>8</v>
      </c>
      <c r="B404" s="9" t="s">
        <v>66</v>
      </c>
      <c r="C404" s="9" t="s">
        <v>102</v>
      </c>
      <c r="D404" s="9">
        <v>521</v>
      </c>
    </row>
    <row r="405" spans="1:4" x14ac:dyDescent="0.3">
      <c r="A405" s="9" t="s">
        <v>8</v>
      </c>
      <c r="B405" s="9" t="s">
        <v>67</v>
      </c>
      <c r="C405" s="9" t="s">
        <v>102</v>
      </c>
      <c r="D405" s="9">
        <v>124</v>
      </c>
    </row>
    <row r="406" spans="1:4" x14ac:dyDescent="0.3">
      <c r="A406" s="9" t="s">
        <v>8</v>
      </c>
      <c r="B406" s="9" t="s">
        <v>68</v>
      </c>
      <c r="C406" s="9" t="s">
        <v>102</v>
      </c>
      <c r="D406" s="9">
        <v>4</v>
      </c>
    </row>
    <row r="407" spans="1:4" x14ac:dyDescent="0.3">
      <c r="A407" s="9" t="s">
        <v>8</v>
      </c>
      <c r="B407" s="9" t="s">
        <v>69</v>
      </c>
      <c r="C407" s="9" t="s">
        <v>102</v>
      </c>
      <c r="D407" s="9">
        <v>23</v>
      </c>
    </row>
    <row r="408" spans="1:4" x14ac:dyDescent="0.3">
      <c r="A408" s="9" t="s">
        <v>8</v>
      </c>
      <c r="B408" s="9" t="s">
        <v>70</v>
      </c>
      <c r="C408" s="9" t="s">
        <v>102</v>
      </c>
      <c r="D408" s="9">
        <v>0</v>
      </c>
    </row>
    <row r="409" spans="1:4" x14ac:dyDescent="0.3">
      <c r="A409" s="9" t="s">
        <v>8</v>
      </c>
      <c r="B409" s="9" t="s">
        <v>75</v>
      </c>
      <c r="C409" s="9" t="s">
        <v>103</v>
      </c>
      <c r="D409" s="9">
        <v>0</v>
      </c>
    </row>
    <row r="410" spans="1:4" x14ac:dyDescent="0.3">
      <c r="A410" s="9" t="s">
        <v>9</v>
      </c>
      <c r="B410" s="9" t="s">
        <v>88</v>
      </c>
      <c r="C410" s="9" t="s">
        <v>92</v>
      </c>
      <c r="D410" s="9">
        <v>6</v>
      </c>
    </row>
    <row r="411" spans="1:4" x14ac:dyDescent="0.3">
      <c r="A411" s="9" t="s">
        <v>9</v>
      </c>
      <c r="B411" s="9" t="s">
        <v>38</v>
      </c>
      <c r="C411" s="9" t="s">
        <v>93</v>
      </c>
      <c r="D411" s="9">
        <v>0</v>
      </c>
    </row>
    <row r="412" spans="1:4" x14ac:dyDescent="0.3">
      <c r="A412" s="9" t="s">
        <v>9</v>
      </c>
      <c r="B412" s="9" t="s">
        <v>87</v>
      </c>
      <c r="C412" s="9" t="s">
        <v>94</v>
      </c>
      <c r="D412" s="9">
        <v>39</v>
      </c>
    </row>
    <row r="413" spans="1:4" x14ac:dyDescent="0.3">
      <c r="A413" s="9" t="s">
        <v>9</v>
      </c>
      <c r="B413" s="9" t="s">
        <v>86</v>
      </c>
      <c r="C413" s="9" t="s">
        <v>86</v>
      </c>
      <c r="D413" s="9">
        <v>0</v>
      </c>
    </row>
    <row r="414" spans="1:4" x14ac:dyDescent="0.3">
      <c r="A414" s="9" t="s">
        <v>9</v>
      </c>
      <c r="B414" s="9" t="s">
        <v>85</v>
      </c>
      <c r="C414" s="9" t="s">
        <v>85</v>
      </c>
      <c r="D414" s="9">
        <v>0</v>
      </c>
    </row>
    <row r="415" spans="1:4" x14ac:dyDescent="0.3">
      <c r="A415" s="9" t="s">
        <v>9</v>
      </c>
      <c r="B415" s="9" t="s">
        <v>84</v>
      </c>
      <c r="C415" s="9" t="s">
        <v>85</v>
      </c>
      <c r="D415" s="9">
        <v>0</v>
      </c>
    </row>
    <row r="416" spans="1:4" x14ac:dyDescent="0.3">
      <c r="A416" s="9" t="s">
        <v>9</v>
      </c>
      <c r="B416" s="9" t="s">
        <v>83</v>
      </c>
      <c r="C416" s="9" t="s">
        <v>95</v>
      </c>
      <c r="D416" s="9">
        <v>217</v>
      </c>
    </row>
    <row r="417" spans="1:4" x14ac:dyDescent="0.3">
      <c r="A417" s="9" t="s">
        <v>9</v>
      </c>
      <c r="B417" s="9" t="s">
        <v>39</v>
      </c>
      <c r="C417" s="9" t="s">
        <v>40</v>
      </c>
      <c r="D417" s="9">
        <v>351</v>
      </c>
    </row>
    <row r="418" spans="1:4" x14ac:dyDescent="0.3">
      <c r="A418" s="9" t="s">
        <v>9</v>
      </c>
      <c r="B418" s="9" t="s">
        <v>40</v>
      </c>
      <c r="C418" s="9" t="s">
        <v>40</v>
      </c>
      <c r="D418" s="9">
        <v>200</v>
      </c>
    </row>
    <row r="419" spans="1:4" x14ac:dyDescent="0.3">
      <c r="A419" s="9" t="s">
        <v>9</v>
      </c>
      <c r="B419" s="9" t="s">
        <v>41</v>
      </c>
      <c r="C419" s="9" t="s">
        <v>40</v>
      </c>
      <c r="D419" s="9">
        <v>0</v>
      </c>
    </row>
    <row r="420" spans="1:4" x14ac:dyDescent="0.3">
      <c r="A420" s="9" t="s">
        <v>9</v>
      </c>
      <c r="B420" s="9" t="s">
        <v>42</v>
      </c>
      <c r="C420" s="9" t="s">
        <v>40</v>
      </c>
      <c r="D420" s="9">
        <v>0</v>
      </c>
    </row>
    <row r="421" spans="1:4" x14ac:dyDescent="0.3">
      <c r="A421" s="9" t="s">
        <v>9</v>
      </c>
      <c r="B421" s="9" t="s">
        <v>43</v>
      </c>
      <c r="C421" s="9" t="s">
        <v>40</v>
      </c>
      <c r="D421" s="9">
        <v>144</v>
      </c>
    </row>
    <row r="422" spans="1:4" x14ac:dyDescent="0.3">
      <c r="A422" s="9" t="s">
        <v>9</v>
      </c>
      <c r="B422" s="9" t="s">
        <v>44</v>
      </c>
      <c r="C422" s="9" t="s">
        <v>40</v>
      </c>
      <c r="D422" s="9">
        <v>13</v>
      </c>
    </row>
    <row r="423" spans="1:4" x14ac:dyDescent="0.3">
      <c r="A423" s="9" t="s">
        <v>9</v>
      </c>
      <c r="B423" s="9" t="s">
        <v>45</v>
      </c>
      <c r="C423" s="9" t="s">
        <v>40</v>
      </c>
      <c r="D423" s="9">
        <v>131</v>
      </c>
    </row>
    <row r="424" spans="1:4" x14ac:dyDescent="0.3">
      <c r="A424" s="9" t="s">
        <v>9</v>
      </c>
      <c r="B424" s="9" t="s">
        <v>71</v>
      </c>
      <c r="C424" s="9" t="s">
        <v>40</v>
      </c>
      <c r="D424" s="9">
        <v>3</v>
      </c>
    </row>
    <row r="425" spans="1:4" x14ac:dyDescent="0.3">
      <c r="A425" s="9" t="s">
        <v>9</v>
      </c>
      <c r="B425" s="9" t="s">
        <v>72</v>
      </c>
      <c r="C425" s="9" t="s">
        <v>40</v>
      </c>
      <c r="D425" s="9">
        <v>0</v>
      </c>
    </row>
    <row r="426" spans="1:4" x14ac:dyDescent="0.3">
      <c r="A426" s="9" t="s">
        <v>9</v>
      </c>
      <c r="B426" s="9" t="s">
        <v>82</v>
      </c>
      <c r="C426" s="9" t="s">
        <v>40</v>
      </c>
      <c r="D426" s="9">
        <v>4</v>
      </c>
    </row>
    <row r="427" spans="1:4" x14ac:dyDescent="0.3">
      <c r="A427" s="9" t="s">
        <v>9</v>
      </c>
      <c r="B427" s="9" t="s">
        <v>81</v>
      </c>
      <c r="C427" s="9" t="s">
        <v>81</v>
      </c>
      <c r="D427" s="9">
        <v>5</v>
      </c>
    </row>
    <row r="428" spans="1:4" x14ac:dyDescent="0.3">
      <c r="A428" s="9" t="s">
        <v>9</v>
      </c>
      <c r="B428" s="9" t="s">
        <v>73</v>
      </c>
      <c r="C428" s="9" t="s">
        <v>81</v>
      </c>
      <c r="D428" s="9">
        <v>0</v>
      </c>
    </row>
    <row r="429" spans="1:4" x14ac:dyDescent="0.3">
      <c r="A429" s="9" t="s">
        <v>9</v>
      </c>
      <c r="B429" s="9" t="s">
        <v>80</v>
      </c>
      <c r="C429" s="9" t="s">
        <v>81</v>
      </c>
      <c r="D429" s="9">
        <v>0</v>
      </c>
    </row>
    <row r="430" spans="1:4" x14ac:dyDescent="0.3">
      <c r="A430" s="9" t="s">
        <v>9</v>
      </c>
      <c r="B430" s="9" t="s">
        <v>79</v>
      </c>
      <c r="C430" s="9" t="s">
        <v>96</v>
      </c>
      <c r="D430" s="9">
        <v>344</v>
      </c>
    </row>
    <row r="431" spans="1:4" x14ac:dyDescent="0.3">
      <c r="A431" s="9" t="s">
        <v>9</v>
      </c>
      <c r="B431" s="9" t="s">
        <v>46</v>
      </c>
      <c r="C431" s="9" t="s">
        <v>96</v>
      </c>
      <c r="D431" s="9">
        <v>138</v>
      </c>
    </row>
    <row r="432" spans="1:4" x14ac:dyDescent="0.3">
      <c r="A432" s="9" t="s">
        <v>9</v>
      </c>
      <c r="B432" s="9" t="s">
        <v>47</v>
      </c>
      <c r="C432" s="9" t="s">
        <v>96</v>
      </c>
      <c r="D432" s="9">
        <v>206</v>
      </c>
    </row>
    <row r="433" spans="1:4" x14ac:dyDescent="0.3">
      <c r="A433" s="9" t="s">
        <v>9</v>
      </c>
      <c r="B433" s="9" t="s">
        <v>48</v>
      </c>
      <c r="C433" s="9" t="s">
        <v>97</v>
      </c>
      <c r="D433" s="9">
        <v>3</v>
      </c>
    </row>
    <row r="434" spans="1:4" x14ac:dyDescent="0.3">
      <c r="A434" s="9" t="s">
        <v>9</v>
      </c>
      <c r="B434" s="9" t="s">
        <v>49</v>
      </c>
      <c r="C434" s="9" t="s">
        <v>97</v>
      </c>
      <c r="D434" s="9">
        <v>3</v>
      </c>
    </row>
    <row r="435" spans="1:4" x14ac:dyDescent="0.3">
      <c r="A435" s="9" t="s">
        <v>9</v>
      </c>
      <c r="B435" s="9" t="s">
        <v>50</v>
      </c>
      <c r="C435" s="9" t="s">
        <v>97</v>
      </c>
      <c r="D435" s="9">
        <v>0</v>
      </c>
    </row>
    <row r="436" spans="1:4" x14ac:dyDescent="0.3">
      <c r="A436" s="9" t="s">
        <v>9</v>
      </c>
      <c r="B436" s="9" t="s">
        <v>51</v>
      </c>
      <c r="C436" s="9" t="s">
        <v>99</v>
      </c>
      <c r="D436" s="9">
        <v>504</v>
      </c>
    </row>
    <row r="437" spans="1:4" x14ac:dyDescent="0.3">
      <c r="A437" s="9" t="s">
        <v>9</v>
      </c>
      <c r="B437" s="9" t="s">
        <v>52</v>
      </c>
      <c r="C437" s="9" t="s">
        <v>99</v>
      </c>
      <c r="D437" s="9">
        <v>448</v>
      </c>
    </row>
    <row r="438" spans="1:4" x14ac:dyDescent="0.3">
      <c r="A438" s="9" t="s">
        <v>9</v>
      </c>
      <c r="B438" s="9" t="s">
        <v>53</v>
      </c>
      <c r="C438" s="9" t="s">
        <v>99</v>
      </c>
      <c r="D438" s="9">
        <v>56</v>
      </c>
    </row>
    <row r="439" spans="1:4" x14ac:dyDescent="0.3">
      <c r="A439" s="9" t="s">
        <v>9</v>
      </c>
      <c r="B439" s="9" t="s">
        <v>54</v>
      </c>
      <c r="C439" s="9" t="s">
        <v>98</v>
      </c>
      <c r="D439" s="9">
        <v>97</v>
      </c>
    </row>
    <row r="440" spans="1:4" x14ac:dyDescent="0.3">
      <c r="A440" s="9" t="s">
        <v>9</v>
      </c>
      <c r="B440" s="9" t="s">
        <v>55</v>
      </c>
      <c r="C440" s="9" t="s">
        <v>98</v>
      </c>
      <c r="D440" s="9">
        <v>97</v>
      </c>
    </row>
    <row r="441" spans="1:4" x14ac:dyDescent="0.3">
      <c r="A441" s="9" t="s">
        <v>9</v>
      </c>
      <c r="B441" s="9" t="s">
        <v>56</v>
      </c>
      <c r="C441" s="9" t="s">
        <v>98</v>
      </c>
      <c r="D441" s="9">
        <v>0</v>
      </c>
    </row>
    <row r="442" spans="1:4" x14ac:dyDescent="0.3">
      <c r="A442" s="9" t="s">
        <v>9</v>
      </c>
      <c r="B442" s="9" t="s">
        <v>74</v>
      </c>
      <c r="C442" s="9" t="s">
        <v>74</v>
      </c>
      <c r="D442" s="9">
        <v>2</v>
      </c>
    </row>
    <row r="443" spans="1:4" x14ac:dyDescent="0.3">
      <c r="A443" s="9" t="s">
        <v>9</v>
      </c>
      <c r="B443" s="9" t="s">
        <v>57</v>
      </c>
      <c r="C443" s="9" t="s">
        <v>100</v>
      </c>
      <c r="D443" s="9">
        <v>10</v>
      </c>
    </row>
    <row r="444" spans="1:4" x14ac:dyDescent="0.3">
      <c r="A444" s="9" t="s">
        <v>9</v>
      </c>
      <c r="B444" s="9" t="s">
        <v>76</v>
      </c>
      <c r="C444" s="9" t="s">
        <v>100</v>
      </c>
      <c r="D444" s="9">
        <v>6</v>
      </c>
    </row>
    <row r="445" spans="1:4" x14ac:dyDescent="0.3">
      <c r="A445" s="9" t="s">
        <v>9</v>
      </c>
      <c r="B445" s="9" t="s">
        <v>58</v>
      </c>
      <c r="C445" s="9" t="s">
        <v>100</v>
      </c>
      <c r="D445" s="9">
        <v>0</v>
      </c>
    </row>
    <row r="446" spans="1:4" x14ac:dyDescent="0.3">
      <c r="A446" s="9" t="s">
        <v>9</v>
      </c>
      <c r="B446" s="9" t="s">
        <v>59</v>
      </c>
      <c r="C446" s="9" t="s">
        <v>100</v>
      </c>
      <c r="D446" s="9">
        <v>0</v>
      </c>
    </row>
    <row r="447" spans="1:4" x14ac:dyDescent="0.3">
      <c r="A447" s="9" t="s">
        <v>9</v>
      </c>
      <c r="B447" s="9" t="s">
        <v>60</v>
      </c>
      <c r="C447" s="9" t="s">
        <v>100</v>
      </c>
      <c r="D447" s="9">
        <v>0</v>
      </c>
    </row>
    <row r="448" spans="1:4" x14ac:dyDescent="0.3">
      <c r="A448" s="9" t="s">
        <v>9</v>
      </c>
      <c r="B448" s="9" t="s">
        <v>61</v>
      </c>
      <c r="C448" s="9" t="s">
        <v>100</v>
      </c>
      <c r="D448" s="9">
        <v>4</v>
      </c>
    </row>
    <row r="449" spans="1:4" x14ac:dyDescent="0.3">
      <c r="A449" s="9" t="s">
        <v>9</v>
      </c>
      <c r="B449" s="9" t="s">
        <v>78</v>
      </c>
      <c r="C449" s="9" t="s">
        <v>95</v>
      </c>
      <c r="D449" s="9">
        <v>2</v>
      </c>
    </row>
    <row r="450" spans="1:4" x14ac:dyDescent="0.3">
      <c r="A450" s="9" t="s">
        <v>9</v>
      </c>
      <c r="B450" s="9" t="s">
        <v>62</v>
      </c>
      <c r="C450" s="9" t="s">
        <v>101</v>
      </c>
      <c r="D450" s="9">
        <v>21</v>
      </c>
    </row>
    <row r="451" spans="1:4" x14ac:dyDescent="0.3">
      <c r="A451" s="9" t="s">
        <v>9</v>
      </c>
      <c r="B451" s="9" t="s">
        <v>63</v>
      </c>
      <c r="C451" s="9" t="s">
        <v>101</v>
      </c>
      <c r="D451" s="9">
        <v>21</v>
      </c>
    </row>
    <row r="452" spans="1:4" x14ac:dyDescent="0.3">
      <c r="A452" s="9" t="s">
        <v>9</v>
      </c>
      <c r="B452" s="9" t="s">
        <v>64</v>
      </c>
      <c r="C452" s="9" t="s">
        <v>101</v>
      </c>
      <c r="D452" s="9">
        <v>0</v>
      </c>
    </row>
    <row r="453" spans="1:4" x14ac:dyDescent="0.3">
      <c r="A453" s="9" t="s">
        <v>9</v>
      </c>
      <c r="B453" s="9" t="s">
        <v>77</v>
      </c>
      <c r="C453" s="9" t="s">
        <v>102</v>
      </c>
      <c r="D453" s="9">
        <v>3</v>
      </c>
    </row>
    <row r="454" spans="1:4" x14ac:dyDescent="0.3">
      <c r="A454" s="9" t="s">
        <v>9</v>
      </c>
      <c r="B454" s="9" t="s">
        <v>65</v>
      </c>
      <c r="C454" s="9" t="s">
        <v>102</v>
      </c>
      <c r="D454" s="9">
        <v>0</v>
      </c>
    </row>
    <row r="455" spans="1:4" x14ac:dyDescent="0.3">
      <c r="A455" s="9" t="s">
        <v>9</v>
      </c>
      <c r="B455" s="9" t="s">
        <v>66</v>
      </c>
      <c r="C455" s="9" t="s">
        <v>102</v>
      </c>
      <c r="D455" s="9">
        <v>0</v>
      </c>
    </row>
    <row r="456" spans="1:4" x14ac:dyDescent="0.3">
      <c r="A456" s="9" t="s">
        <v>9</v>
      </c>
      <c r="B456" s="9" t="s">
        <v>67</v>
      </c>
      <c r="C456" s="9" t="s">
        <v>102</v>
      </c>
      <c r="D456" s="9">
        <v>2</v>
      </c>
    </row>
    <row r="457" spans="1:4" x14ac:dyDescent="0.3">
      <c r="A457" s="9" t="s">
        <v>9</v>
      </c>
      <c r="B457" s="9" t="s">
        <v>68</v>
      </c>
      <c r="C457" s="9" t="s">
        <v>102</v>
      </c>
      <c r="D457" s="9">
        <v>1</v>
      </c>
    </row>
    <row r="458" spans="1:4" x14ac:dyDescent="0.3">
      <c r="A458" s="9" t="s">
        <v>9</v>
      </c>
      <c r="B458" s="9" t="s">
        <v>69</v>
      </c>
      <c r="C458" s="9" t="s">
        <v>102</v>
      </c>
      <c r="D458" s="9">
        <v>0</v>
      </c>
    </row>
    <row r="459" spans="1:4" x14ac:dyDescent="0.3">
      <c r="A459" s="9" t="s">
        <v>9</v>
      </c>
      <c r="B459" s="9" t="s">
        <v>70</v>
      </c>
      <c r="C459" s="9" t="s">
        <v>102</v>
      </c>
      <c r="D459" s="9">
        <v>0</v>
      </c>
    </row>
    <row r="460" spans="1:4" x14ac:dyDescent="0.3">
      <c r="A460" s="9" t="s">
        <v>9</v>
      </c>
      <c r="B460" s="9" t="s">
        <v>75</v>
      </c>
      <c r="C460" s="9" t="s">
        <v>103</v>
      </c>
      <c r="D460" s="9">
        <v>0</v>
      </c>
    </row>
    <row r="461" spans="1:4" x14ac:dyDescent="0.3">
      <c r="A461" s="9" t="s">
        <v>10</v>
      </c>
      <c r="B461" s="9" t="s">
        <v>88</v>
      </c>
      <c r="C461" s="9" t="s">
        <v>92</v>
      </c>
      <c r="D461" s="9">
        <v>3</v>
      </c>
    </row>
    <row r="462" spans="1:4" x14ac:dyDescent="0.3">
      <c r="A462" s="9" t="s">
        <v>10</v>
      </c>
      <c r="B462" s="9" t="s">
        <v>38</v>
      </c>
      <c r="C462" s="9" t="s">
        <v>93</v>
      </c>
      <c r="D462" s="9">
        <v>218</v>
      </c>
    </row>
    <row r="463" spans="1:4" x14ac:dyDescent="0.3">
      <c r="A463" s="9" t="s">
        <v>10</v>
      </c>
      <c r="B463" s="9" t="s">
        <v>87</v>
      </c>
      <c r="C463" s="9" t="s">
        <v>94</v>
      </c>
      <c r="D463" s="9">
        <v>45</v>
      </c>
    </row>
    <row r="464" spans="1:4" x14ac:dyDescent="0.3">
      <c r="A464" s="9" t="s">
        <v>10</v>
      </c>
      <c r="B464" s="9" t="s">
        <v>86</v>
      </c>
      <c r="C464" s="9" t="s">
        <v>86</v>
      </c>
      <c r="D464" s="9">
        <v>3</v>
      </c>
    </row>
    <row r="465" spans="1:4" x14ac:dyDescent="0.3">
      <c r="A465" s="9" t="s">
        <v>10</v>
      </c>
      <c r="B465" s="9" t="s">
        <v>85</v>
      </c>
      <c r="C465" s="9" t="s">
        <v>85</v>
      </c>
      <c r="D465" s="9">
        <v>1</v>
      </c>
    </row>
    <row r="466" spans="1:4" x14ac:dyDescent="0.3">
      <c r="A466" s="9" t="s">
        <v>10</v>
      </c>
      <c r="B466" s="9" t="s">
        <v>84</v>
      </c>
      <c r="C466" s="9" t="s">
        <v>85</v>
      </c>
      <c r="D466" s="9">
        <v>0</v>
      </c>
    </row>
    <row r="467" spans="1:4" x14ac:dyDescent="0.3">
      <c r="A467" s="9" t="s">
        <v>10</v>
      </c>
      <c r="B467" s="9" t="s">
        <v>83</v>
      </c>
      <c r="C467" s="9" t="s">
        <v>95</v>
      </c>
      <c r="D467" s="9">
        <v>770</v>
      </c>
    </row>
    <row r="468" spans="1:4" x14ac:dyDescent="0.3">
      <c r="A468" s="9" t="s">
        <v>10</v>
      </c>
      <c r="B468" s="9" t="s">
        <v>39</v>
      </c>
      <c r="C468" s="9" t="s">
        <v>40</v>
      </c>
      <c r="D468" s="9">
        <v>1253</v>
      </c>
    </row>
    <row r="469" spans="1:4" x14ac:dyDescent="0.3">
      <c r="A469" s="9" t="s">
        <v>10</v>
      </c>
      <c r="B469" s="9" t="s">
        <v>40</v>
      </c>
      <c r="C469" s="9" t="s">
        <v>40</v>
      </c>
      <c r="D469" s="9">
        <v>93</v>
      </c>
    </row>
    <row r="470" spans="1:4" x14ac:dyDescent="0.3">
      <c r="A470" s="9" t="s">
        <v>10</v>
      </c>
      <c r="B470" s="9" t="s">
        <v>41</v>
      </c>
      <c r="C470" s="9" t="s">
        <v>40</v>
      </c>
      <c r="D470" s="9">
        <v>4</v>
      </c>
    </row>
    <row r="471" spans="1:4" x14ac:dyDescent="0.3">
      <c r="A471" s="9" t="s">
        <v>10</v>
      </c>
      <c r="B471" s="9" t="s">
        <v>42</v>
      </c>
      <c r="C471" s="9" t="s">
        <v>40</v>
      </c>
      <c r="D471" s="9">
        <v>5</v>
      </c>
    </row>
    <row r="472" spans="1:4" x14ac:dyDescent="0.3">
      <c r="A472" s="9" t="s">
        <v>10</v>
      </c>
      <c r="B472" s="9" t="s">
        <v>43</v>
      </c>
      <c r="C472" s="9" t="s">
        <v>40</v>
      </c>
      <c r="D472" s="9">
        <v>775</v>
      </c>
    </row>
    <row r="473" spans="1:4" x14ac:dyDescent="0.3">
      <c r="A473" s="9" t="s">
        <v>10</v>
      </c>
      <c r="B473" s="9" t="s">
        <v>44</v>
      </c>
      <c r="C473" s="9" t="s">
        <v>40</v>
      </c>
      <c r="D473" s="9">
        <v>620</v>
      </c>
    </row>
    <row r="474" spans="1:4" x14ac:dyDescent="0.3">
      <c r="A474" s="9" t="s">
        <v>10</v>
      </c>
      <c r="B474" s="9" t="s">
        <v>45</v>
      </c>
      <c r="C474" s="9" t="s">
        <v>40</v>
      </c>
      <c r="D474" s="9">
        <v>155</v>
      </c>
    </row>
    <row r="475" spans="1:4" x14ac:dyDescent="0.3">
      <c r="A475" s="9" t="s">
        <v>10</v>
      </c>
      <c r="B475" s="9" t="s">
        <v>71</v>
      </c>
      <c r="C475" s="9" t="s">
        <v>40</v>
      </c>
      <c r="D475" s="9">
        <v>319</v>
      </c>
    </row>
    <row r="476" spans="1:4" x14ac:dyDescent="0.3">
      <c r="A476" s="9" t="s">
        <v>10</v>
      </c>
      <c r="B476" s="9" t="s">
        <v>72</v>
      </c>
      <c r="C476" s="9" t="s">
        <v>40</v>
      </c>
      <c r="D476" s="9">
        <v>0</v>
      </c>
    </row>
    <row r="477" spans="1:4" x14ac:dyDescent="0.3">
      <c r="A477" s="9" t="s">
        <v>10</v>
      </c>
      <c r="B477" s="9" t="s">
        <v>82</v>
      </c>
      <c r="C477" s="9" t="s">
        <v>40</v>
      </c>
      <c r="D477" s="9">
        <v>57</v>
      </c>
    </row>
    <row r="478" spans="1:4" x14ac:dyDescent="0.3">
      <c r="A478" s="9" t="s">
        <v>10</v>
      </c>
      <c r="B478" s="9" t="s">
        <v>81</v>
      </c>
      <c r="C478" s="9" t="s">
        <v>81</v>
      </c>
      <c r="D478" s="9">
        <v>37</v>
      </c>
    </row>
    <row r="479" spans="1:4" x14ac:dyDescent="0.3">
      <c r="A479" s="9" t="s">
        <v>10</v>
      </c>
      <c r="B479" s="9" t="s">
        <v>73</v>
      </c>
      <c r="C479" s="9" t="s">
        <v>81</v>
      </c>
      <c r="D479" s="9">
        <v>0</v>
      </c>
    </row>
    <row r="480" spans="1:4" x14ac:dyDescent="0.3">
      <c r="A480" s="9" t="s">
        <v>10</v>
      </c>
      <c r="B480" s="9" t="s">
        <v>80</v>
      </c>
      <c r="C480" s="9" t="s">
        <v>81</v>
      </c>
      <c r="D480" s="9">
        <v>0</v>
      </c>
    </row>
    <row r="481" spans="1:4" x14ac:dyDescent="0.3">
      <c r="A481" s="9" t="s">
        <v>10</v>
      </c>
      <c r="B481" s="9" t="s">
        <v>79</v>
      </c>
      <c r="C481" s="9" t="s">
        <v>96</v>
      </c>
      <c r="D481" s="9">
        <v>1221</v>
      </c>
    </row>
    <row r="482" spans="1:4" x14ac:dyDescent="0.3">
      <c r="A482" s="9" t="s">
        <v>10</v>
      </c>
      <c r="B482" s="9" t="s">
        <v>46</v>
      </c>
      <c r="C482" s="9" t="s">
        <v>96</v>
      </c>
      <c r="D482" s="9">
        <v>1071</v>
      </c>
    </row>
    <row r="483" spans="1:4" x14ac:dyDescent="0.3">
      <c r="A483" s="9" t="s">
        <v>10</v>
      </c>
      <c r="B483" s="9" t="s">
        <v>47</v>
      </c>
      <c r="C483" s="9" t="s">
        <v>96</v>
      </c>
      <c r="D483" s="9">
        <v>150</v>
      </c>
    </row>
    <row r="484" spans="1:4" x14ac:dyDescent="0.3">
      <c r="A484" s="9" t="s">
        <v>10</v>
      </c>
      <c r="B484" s="9" t="s">
        <v>48</v>
      </c>
      <c r="C484" s="9" t="s">
        <v>97</v>
      </c>
      <c r="D484" s="9">
        <v>66</v>
      </c>
    </row>
    <row r="485" spans="1:4" x14ac:dyDescent="0.3">
      <c r="A485" s="9" t="s">
        <v>10</v>
      </c>
      <c r="B485" s="9" t="s">
        <v>49</v>
      </c>
      <c r="C485" s="9" t="s">
        <v>97</v>
      </c>
      <c r="D485" s="9">
        <v>64</v>
      </c>
    </row>
    <row r="486" spans="1:4" x14ac:dyDescent="0.3">
      <c r="A486" s="9" t="s">
        <v>10</v>
      </c>
      <c r="B486" s="9" t="s">
        <v>50</v>
      </c>
      <c r="C486" s="9" t="s">
        <v>97</v>
      </c>
      <c r="D486" s="9">
        <v>2</v>
      </c>
    </row>
    <row r="487" spans="1:4" x14ac:dyDescent="0.3">
      <c r="A487" s="9" t="s">
        <v>10</v>
      </c>
      <c r="B487" s="9" t="s">
        <v>51</v>
      </c>
      <c r="C487" s="9" t="s">
        <v>99</v>
      </c>
      <c r="D487" s="9">
        <v>944</v>
      </c>
    </row>
    <row r="488" spans="1:4" x14ac:dyDescent="0.3">
      <c r="A488" s="9" t="s">
        <v>10</v>
      </c>
      <c r="B488" s="9" t="s">
        <v>52</v>
      </c>
      <c r="C488" s="9" t="s">
        <v>99</v>
      </c>
      <c r="D488" s="9">
        <v>942</v>
      </c>
    </row>
    <row r="489" spans="1:4" x14ac:dyDescent="0.3">
      <c r="A489" s="9" t="s">
        <v>10</v>
      </c>
      <c r="B489" s="9" t="s">
        <v>53</v>
      </c>
      <c r="C489" s="9" t="s">
        <v>99</v>
      </c>
      <c r="D489" s="9">
        <v>2</v>
      </c>
    </row>
    <row r="490" spans="1:4" x14ac:dyDescent="0.3">
      <c r="A490" s="9" t="s">
        <v>10</v>
      </c>
      <c r="B490" s="9" t="s">
        <v>54</v>
      </c>
      <c r="C490" s="9" t="s">
        <v>98</v>
      </c>
      <c r="D490" s="9">
        <v>4</v>
      </c>
    </row>
    <row r="491" spans="1:4" x14ac:dyDescent="0.3">
      <c r="A491" s="9" t="s">
        <v>10</v>
      </c>
      <c r="B491" s="9" t="s">
        <v>55</v>
      </c>
      <c r="C491" s="9" t="s">
        <v>98</v>
      </c>
      <c r="D491" s="9">
        <v>4</v>
      </c>
    </row>
    <row r="492" spans="1:4" x14ac:dyDescent="0.3">
      <c r="A492" s="9" t="s">
        <v>10</v>
      </c>
      <c r="B492" s="9" t="s">
        <v>56</v>
      </c>
      <c r="C492" s="9" t="s">
        <v>98</v>
      </c>
      <c r="D492" s="9">
        <v>0</v>
      </c>
    </row>
    <row r="493" spans="1:4" x14ac:dyDescent="0.3">
      <c r="A493" s="9" t="s">
        <v>10</v>
      </c>
      <c r="B493" s="9" t="s">
        <v>74</v>
      </c>
      <c r="C493" s="9" t="s">
        <v>74</v>
      </c>
      <c r="D493" s="9">
        <v>1487</v>
      </c>
    </row>
    <row r="494" spans="1:4" x14ac:dyDescent="0.3">
      <c r="A494" s="9" t="s">
        <v>10</v>
      </c>
      <c r="B494" s="9" t="s">
        <v>57</v>
      </c>
      <c r="C494" s="9" t="s">
        <v>100</v>
      </c>
      <c r="D494" s="9">
        <v>2</v>
      </c>
    </row>
    <row r="495" spans="1:4" x14ac:dyDescent="0.3">
      <c r="A495" s="9" t="s">
        <v>10</v>
      </c>
      <c r="B495" s="9" t="s">
        <v>76</v>
      </c>
      <c r="C495" s="9" t="s">
        <v>100</v>
      </c>
      <c r="D495" s="9">
        <v>0</v>
      </c>
    </row>
    <row r="496" spans="1:4" x14ac:dyDescent="0.3">
      <c r="A496" s="9" t="s">
        <v>10</v>
      </c>
      <c r="B496" s="9" t="s">
        <v>58</v>
      </c>
      <c r="C496" s="9" t="s">
        <v>100</v>
      </c>
      <c r="D496" s="9">
        <v>1</v>
      </c>
    </row>
    <row r="497" spans="1:4" x14ac:dyDescent="0.3">
      <c r="A497" s="9" t="s">
        <v>10</v>
      </c>
      <c r="B497" s="9" t="s">
        <v>59</v>
      </c>
      <c r="C497" s="9" t="s">
        <v>100</v>
      </c>
      <c r="D497" s="9">
        <v>0</v>
      </c>
    </row>
    <row r="498" spans="1:4" x14ac:dyDescent="0.3">
      <c r="A498" s="9" t="s">
        <v>10</v>
      </c>
      <c r="B498" s="9" t="s">
        <v>60</v>
      </c>
      <c r="C498" s="9" t="s">
        <v>100</v>
      </c>
      <c r="D498" s="9">
        <v>0</v>
      </c>
    </row>
    <row r="499" spans="1:4" x14ac:dyDescent="0.3">
      <c r="A499" s="9" t="s">
        <v>10</v>
      </c>
      <c r="B499" s="9" t="s">
        <v>61</v>
      </c>
      <c r="C499" s="9" t="s">
        <v>100</v>
      </c>
      <c r="D499" s="9">
        <v>1</v>
      </c>
    </row>
    <row r="500" spans="1:4" x14ac:dyDescent="0.3">
      <c r="A500" s="9" t="s">
        <v>10</v>
      </c>
      <c r="B500" s="9" t="s">
        <v>78</v>
      </c>
      <c r="C500" s="9" t="s">
        <v>95</v>
      </c>
      <c r="D500" s="9">
        <v>96</v>
      </c>
    </row>
    <row r="501" spans="1:4" x14ac:dyDescent="0.3">
      <c r="A501" s="9" t="s">
        <v>10</v>
      </c>
      <c r="B501" s="9" t="s">
        <v>62</v>
      </c>
      <c r="C501" s="9" t="s">
        <v>101</v>
      </c>
      <c r="D501" s="9">
        <v>12</v>
      </c>
    </row>
    <row r="502" spans="1:4" x14ac:dyDescent="0.3">
      <c r="A502" s="9" t="s">
        <v>10</v>
      </c>
      <c r="B502" s="9" t="s">
        <v>63</v>
      </c>
      <c r="C502" s="9" t="s">
        <v>101</v>
      </c>
      <c r="D502" s="9">
        <v>12</v>
      </c>
    </row>
    <row r="503" spans="1:4" x14ac:dyDescent="0.3">
      <c r="A503" s="9" t="s">
        <v>10</v>
      </c>
      <c r="B503" s="9" t="s">
        <v>64</v>
      </c>
      <c r="C503" s="9" t="s">
        <v>101</v>
      </c>
      <c r="D503" s="9">
        <v>0</v>
      </c>
    </row>
    <row r="504" spans="1:4" x14ac:dyDescent="0.3">
      <c r="A504" s="9" t="s">
        <v>10</v>
      </c>
      <c r="B504" s="9" t="s">
        <v>77</v>
      </c>
      <c r="C504" s="9" t="s">
        <v>102</v>
      </c>
      <c r="D504" s="9">
        <v>827</v>
      </c>
    </row>
    <row r="505" spans="1:4" x14ac:dyDescent="0.3">
      <c r="A505" s="9" t="s">
        <v>10</v>
      </c>
      <c r="B505" s="9" t="s">
        <v>65</v>
      </c>
      <c r="C505" s="9" t="s">
        <v>102</v>
      </c>
      <c r="D505" s="9">
        <v>657</v>
      </c>
    </row>
    <row r="506" spans="1:4" x14ac:dyDescent="0.3">
      <c r="A506" s="9" t="s">
        <v>10</v>
      </c>
      <c r="B506" s="9" t="s">
        <v>66</v>
      </c>
      <c r="C506" s="9" t="s">
        <v>102</v>
      </c>
      <c r="D506" s="9">
        <v>93</v>
      </c>
    </row>
    <row r="507" spans="1:4" x14ac:dyDescent="0.3">
      <c r="A507" s="9" t="s">
        <v>10</v>
      </c>
      <c r="B507" s="9" t="s">
        <v>67</v>
      </c>
      <c r="C507" s="9" t="s">
        <v>102</v>
      </c>
      <c r="D507" s="9">
        <v>69</v>
      </c>
    </row>
    <row r="508" spans="1:4" x14ac:dyDescent="0.3">
      <c r="A508" s="9" t="s">
        <v>10</v>
      </c>
      <c r="B508" s="9" t="s">
        <v>68</v>
      </c>
      <c r="C508" s="9" t="s">
        <v>102</v>
      </c>
      <c r="D508" s="9">
        <v>7</v>
      </c>
    </row>
    <row r="509" spans="1:4" x14ac:dyDescent="0.3">
      <c r="A509" s="9" t="s">
        <v>10</v>
      </c>
      <c r="B509" s="9" t="s">
        <v>69</v>
      </c>
      <c r="C509" s="9" t="s">
        <v>102</v>
      </c>
      <c r="D509" s="9">
        <v>1</v>
      </c>
    </row>
    <row r="510" spans="1:4" x14ac:dyDescent="0.3">
      <c r="A510" s="9" t="s">
        <v>10</v>
      </c>
      <c r="B510" s="9" t="s">
        <v>70</v>
      </c>
      <c r="C510" s="9" t="s">
        <v>102</v>
      </c>
      <c r="D510" s="9">
        <v>0</v>
      </c>
    </row>
    <row r="511" spans="1:4" x14ac:dyDescent="0.3">
      <c r="A511" s="9" t="s">
        <v>10</v>
      </c>
      <c r="B511" s="9" t="s">
        <v>75</v>
      </c>
      <c r="C511" s="9" t="s">
        <v>103</v>
      </c>
      <c r="D511" s="9">
        <v>0</v>
      </c>
    </row>
    <row r="512" spans="1:4" x14ac:dyDescent="0.3">
      <c r="A512" s="9" t="s">
        <v>11</v>
      </c>
      <c r="B512" s="9" t="s">
        <v>88</v>
      </c>
      <c r="C512" s="9" t="s">
        <v>92</v>
      </c>
      <c r="D512" s="9">
        <v>6</v>
      </c>
    </row>
    <row r="513" spans="1:4" x14ac:dyDescent="0.3">
      <c r="A513" s="9" t="s">
        <v>11</v>
      </c>
      <c r="B513" s="9" t="s">
        <v>38</v>
      </c>
      <c r="C513" s="9" t="s">
        <v>93</v>
      </c>
      <c r="D513" s="9">
        <v>156</v>
      </c>
    </row>
    <row r="514" spans="1:4" x14ac:dyDescent="0.3">
      <c r="A514" s="9" t="s">
        <v>11</v>
      </c>
      <c r="B514" s="9" t="s">
        <v>87</v>
      </c>
      <c r="C514" s="9" t="s">
        <v>94</v>
      </c>
      <c r="D514" s="9">
        <v>274</v>
      </c>
    </row>
    <row r="515" spans="1:4" x14ac:dyDescent="0.3">
      <c r="A515" s="9" t="s">
        <v>11</v>
      </c>
      <c r="B515" s="9" t="s">
        <v>86</v>
      </c>
      <c r="C515" s="9" t="s">
        <v>86</v>
      </c>
      <c r="D515" s="9">
        <v>11</v>
      </c>
    </row>
    <row r="516" spans="1:4" x14ac:dyDescent="0.3">
      <c r="A516" s="9" t="s">
        <v>11</v>
      </c>
      <c r="B516" s="9" t="s">
        <v>85</v>
      </c>
      <c r="C516" s="9" t="s">
        <v>85</v>
      </c>
      <c r="D516" s="9">
        <v>0</v>
      </c>
    </row>
    <row r="517" spans="1:4" x14ac:dyDescent="0.3">
      <c r="A517" s="9" t="s">
        <v>11</v>
      </c>
      <c r="B517" s="9" t="s">
        <v>84</v>
      </c>
      <c r="C517" s="9" t="s">
        <v>85</v>
      </c>
      <c r="D517" s="9">
        <v>4</v>
      </c>
    </row>
    <row r="518" spans="1:4" x14ac:dyDescent="0.3">
      <c r="A518" s="9" t="s">
        <v>11</v>
      </c>
      <c r="B518" s="9" t="s">
        <v>83</v>
      </c>
      <c r="C518" s="9" t="s">
        <v>95</v>
      </c>
      <c r="D518" s="9">
        <v>3000</v>
      </c>
    </row>
    <row r="519" spans="1:4" x14ac:dyDescent="0.3">
      <c r="A519" s="9" t="s">
        <v>11</v>
      </c>
      <c r="B519" s="9" t="s">
        <v>39</v>
      </c>
      <c r="C519" s="9" t="s">
        <v>40</v>
      </c>
      <c r="D519" s="9">
        <v>2327</v>
      </c>
    </row>
    <row r="520" spans="1:4" x14ac:dyDescent="0.3">
      <c r="A520" s="9" t="s">
        <v>11</v>
      </c>
      <c r="B520" s="9" t="s">
        <v>40</v>
      </c>
      <c r="C520" s="9" t="s">
        <v>40</v>
      </c>
      <c r="D520" s="9">
        <v>2256</v>
      </c>
    </row>
    <row r="521" spans="1:4" x14ac:dyDescent="0.3">
      <c r="A521" s="9" t="s">
        <v>11</v>
      </c>
      <c r="B521" s="9" t="s">
        <v>41</v>
      </c>
      <c r="C521" s="9" t="s">
        <v>40</v>
      </c>
      <c r="D521" s="9">
        <v>1</v>
      </c>
    </row>
    <row r="522" spans="1:4" x14ac:dyDescent="0.3">
      <c r="A522" s="9" t="s">
        <v>11</v>
      </c>
      <c r="B522" s="9" t="s">
        <v>42</v>
      </c>
      <c r="C522" s="9" t="s">
        <v>40</v>
      </c>
      <c r="D522" s="9">
        <v>18</v>
      </c>
    </row>
    <row r="523" spans="1:4" x14ac:dyDescent="0.3">
      <c r="A523" s="9" t="s">
        <v>11</v>
      </c>
      <c r="B523" s="9" t="s">
        <v>43</v>
      </c>
      <c r="C523" s="9" t="s">
        <v>40</v>
      </c>
      <c r="D523" s="9">
        <v>29</v>
      </c>
    </row>
    <row r="524" spans="1:4" x14ac:dyDescent="0.3">
      <c r="A524" s="9" t="s">
        <v>11</v>
      </c>
      <c r="B524" s="9" t="s">
        <v>44</v>
      </c>
      <c r="C524" s="9" t="s">
        <v>40</v>
      </c>
      <c r="D524" s="9">
        <v>21</v>
      </c>
    </row>
    <row r="525" spans="1:4" x14ac:dyDescent="0.3">
      <c r="A525" s="9" t="s">
        <v>11</v>
      </c>
      <c r="B525" s="9" t="s">
        <v>45</v>
      </c>
      <c r="C525" s="9" t="s">
        <v>40</v>
      </c>
      <c r="D525" s="9">
        <v>8</v>
      </c>
    </row>
    <row r="526" spans="1:4" x14ac:dyDescent="0.3">
      <c r="A526" s="9" t="s">
        <v>11</v>
      </c>
      <c r="B526" s="9" t="s">
        <v>71</v>
      </c>
      <c r="C526" s="9" t="s">
        <v>40</v>
      </c>
      <c r="D526" s="9">
        <v>5</v>
      </c>
    </row>
    <row r="527" spans="1:4" x14ac:dyDescent="0.3">
      <c r="A527" s="9" t="s">
        <v>11</v>
      </c>
      <c r="B527" s="9" t="s">
        <v>72</v>
      </c>
      <c r="C527" s="9" t="s">
        <v>40</v>
      </c>
      <c r="D527" s="9">
        <v>0</v>
      </c>
    </row>
    <row r="528" spans="1:4" x14ac:dyDescent="0.3">
      <c r="A528" s="9" t="s">
        <v>11</v>
      </c>
      <c r="B528" s="9" t="s">
        <v>82</v>
      </c>
      <c r="C528" s="9" t="s">
        <v>40</v>
      </c>
      <c r="D528" s="9">
        <v>18</v>
      </c>
    </row>
    <row r="529" spans="1:4" x14ac:dyDescent="0.3">
      <c r="A529" s="9" t="s">
        <v>11</v>
      </c>
      <c r="B529" s="9" t="s">
        <v>81</v>
      </c>
      <c r="C529" s="9" t="s">
        <v>81</v>
      </c>
      <c r="D529" s="9">
        <v>11</v>
      </c>
    </row>
    <row r="530" spans="1:4" x14ac:dyDescent="0.3">
      <c r="A530" s="9" t="s">
        <v>11</v>
      </c>
      <c r="B530" s="9" t="s">
        <v>73</v>
      </c>
      <c r="C530" s="9" t="s">
        <v>81</v>
      </c>
      <c r="D530" s="9">
        <v>0</v>
      </c>
    </row>
    <row r="531" spans="1:4" x14ac:dyDescent="0.3">
      <c r="A531" s="9" t="s">
        <v>11</v>
      </c>
      <c r="B531" s="9" t="s">
        <v>80</v>
      </c>
      <c r="C531" s="9" t="s">
        <v>81</v>
      </c>
      <c r="D531" s="9">
        <v>0</v>
      </c>
    </row>
    <row r="532" spans="1:4" x14ac:dyDescent="0.3">
      <c r="A532" s="9" t="s">
        <v>11</v>
      </c>
      <c r="B532" s="9" t="s">
        <v>79</v>
      </c>
      <c r="C532" s="9" t="s">
        <v>96</v>
      </c>
      <c r="D532" s="9">
        <v>656</v>
      </c>
    </row>
    <row r="533" spans="1:4" x14ac:dyDescent="0.3">
      <c r="A533" s="9" t="s">
        <v>11</v>
      </c>
      <c r="B533" s="9" t="s">
        <v>46</v>
      </c>
      <c r="C533" s="9" t="s">
        <v>96</v>
      </c>
      <c r="D533" s="9">
        <v>656</v>
      </c>
    </row>
    <row r="534" spans="1:4" x14ac:dyDescent="0.3">
      <c r="A534" s="9" t="s">
        <v>11</v>
      </c>
      <c r="B534" s="9" t="s">
        <v>47</v>
      </c>
      <c r="C534" s="9" t="s">
        <v>96</v>
      </c>
      <c r="D534" s="9">
        <v>0</v>
      </c>
    </row>
    <row r="535" spans="1:4" x14ac:dyDescent="0.3">
      <c r="A535" s="9" t="s">
        <v>11</v>
      </c>
      <c r="B535" s="9" t="s">
        <v>48</v>
      </c>
      <c r="C535" s="9" t="s">
        <v>97</v>
      </c>
      <c r="D535" s="9">
        <v>10</v>
      </c>
    </row>
    <row r="536" spans="1:4" x14ac:dyDescent="0.3">
      <c r="A536" s="9" t="s">
        <v>11</v>
      </c>
      <c r="B536" s="9" t="s">
        <v>49</v>
      </c>
      <c r="C536" s="9" t="s">
        <v>97</v>
      </c>
      <c r="D536" s="9">
        <v>9</v>
      </c>
    </row>
    <row r="537" spans="1:4" x14ac:dyDescent="0.3">
      <c r="A537" s="9" t="s">
        <v>11</v>
      </c>
      <c r="B537" s="9" t="s">
        <v>50</v>
      </c>
      <c r="C537" s="9" t="s">
        <v>97</v>
      </c>
      <c r="D537" s="9">
        <v>1</v>
      </c>
    </row>
    <row r="538" spans="1:4" x14ac:dyDescent="0.3">
      <c r="A538" s="9" t="s">
        <v>11</v>
      </c>
      <c r="B538" s="9" t="s">
        <v>51</v>
      </c>
      <c r="C538" s="9" t="s">
        <v>99</v>
      </c>
      <c r="D538" s="9">
        <v>6790</v>
      </c>
    </row>
    <row r="539" spans="1:4" x14ac:dyDescent="0.3">
      <c r="A539" s="9" t="s">
        <v>11</v>
      </c>
      <c r="B539" s="9" t="s">
        <v>52</v>
      </c>
      <c r="C539" s="9" t="s">
        <v>99</v>
      </c>
      <c r="D539" s="9">
        <v>6789</v>
      </c>
    </row>
    <row r="540" spans="1:4" x14ac:dyDescent="0.3">
      <c r="A540" s="9" t="s">
        <v>11</v>
      </c>
      <c r="B540" s="9" t="s">
        <v>53</v>
      </c>
      <c r="C540" s="9" t="s">
        <v>99</v>
      </c>
      <c r="D540" s="9">
        <v>1</v>
      </c>
    </row>
    <row r="541" spans="1:4" x14ac:dyDescent="0.3">
      <c r="A541" s="9" t="s">
        <v>11</v>
      </c>
      <c r="B541" s="9" t="s">
        <v>54</v>
      </c>
      <c r="C541" s="9" t="s">
        <v>98</v>
      </c>
      <c r="D541" s="9">
        <v>148</v>
      </c>
    </row>
    <row r="542" spans="1:4" x14ac:dyDescent="0.3">
      <c r="A542" s="9" t="s">
        <v>11</v>
      </c>
      <c r="B542" s="9" t="s">
        <v>55</v>
      </c>
      <c r="C542" s="9" t="s">
        <v>98</v>
      </c>
      <c r="D542" s="9">
        <v>148</v>
      </c>
    </row>
    <row r="543" spans="1:4" x14ac:dyDescent="0.3">
      <c r="A543" s="9" t="s">
        <v>11</v>
      </c>
      <c r="B543" s="9" t="s">
        <v>56</v>
      </c>
      <c r="C543" s="9" t="s">
        <v>98</v>
      </c>
      <c r="D543" s="9">
        <v>0</v>
      </c>
    </row>
    <row r="544" spans="1:4" x14ac:dyDescent="0.3">
      <c r="A544" s="9" t="s">
        <v>11</v>
      </c>
      <c r="B544" s="9" t="s">
        <v>74</v>
      </c>
      <c r="C544" s="9" t="s">
        <v>74</v>
      </c>
      <c r="D544" s="9">
        <v>2322</v>
      </c>
    </row>
    <row r="545" spans="1:4" x14ac:dyDescent="0.3">
      <c r="A545" s="9" t="s">
        <v>11</v>
      </c>
      <c r="B545" s="9" t="s">
        <v>57</v>
      </c>
      <c r="C545" s="9" t="s">
        <v>100</v>
      </c>
      <c r="D545" s="9">
        <v>308</v>
      </c>
    </row>
    <row r="546" spans="1:4" x14ac:dyDescent="0.3">
      <c r="A546" s="9" t="s">
        <v>11</v>
      </c>
      <c r="B546" s="9" t="s">
        <v>76</v>
      </c>
      <c r="C546" s="9" t="s">
        <v>100</v>
      </c>
      <c r="D546" s="9">
        <v>106</v>
      </c>
    </row>
    <row r="547" spans="1:4" x14ac:dyDescent="0.3">
      <c r="A547" s="9" t="s">
        <v>11</v>
      </c>
      <c r="B547" s="9" t="s">
        <v>58</v>
      </c>
      <c r="C547" s="9" t="s">
        <v>100</v>
      </c>
      <c r="D547" s="9">
        <v>94</v>
      </c>
    </row>
    <row r="548" spans="1:4" x14ac:dyDescent="0.3">
      <c r="A548" s="9" t="s">
        <v>11</v>
      </c>
      <c r="B548" s="9" t="s">
        <v>59</v>
      </c>
      <c r="C548" s="9" t="s">
        <v>100</v>
      </c>
      <c r="D548" s="9">
        <v>37</v>
      </c>
    </row>
    <row r="549" spans="1:4" x14ac:dyDescent="0.3">
      <c r="A549" s="9" t="s">
        <v>11</v>
      </c>
      <c r="B549" s="9" t="s">
        <v>60</v>
      </c>
      <c r="C549" s="9" t="s">
        <v>100</v>
      </c>
      <c r="D549" s="9">
        <v>3</v>
      </c>
    </row>
    <row r="550" spans="1:4" x14ac:dyDescent="0.3">
      <c r="A550" s="9" t="s">
        <v>11</v>
      </c>
      <c r="B550" s="9" t="s">
        <v>61</v>
      </c>
      <c r="C550" s="9" t="s">
        <v>100</v>
      </c>
      <c r="D550" s="9">
        <v>68</v>
      </c>
    </row>
    <row r="551" spans="1:4" x14ac:dyDescent="0.3">
      <c r="A551" s="9" t="s">
        <v>11</v>
      </c>
      <c r="B551" s="9" t="s">
        <v>78</v>
      </c>
      <c r="C551" s="9" t="s">
        <v>95</v>
      </c>
      <c r="D551" s="9">
        <v>0</v>
      </c>
    </row>
    <row r="552" spans="1:4" x14ac:dyDescent="0.3">
      <c r="A552" s="9" t="s">
        <v>11</v>
      </c>
      <c r="B552" s="9" t="s">
        <v>62</v>
      </c>
      <c r="C552" s="9" t="s">
        <v>101</v>
      </c>
      <c r="D552" s="9">
        <v>458</v>
      </c>
    </row>
    <row r="553" spans="1:4" x14ac:dyDescent="0.3">
      <c r="A553" s="9" t="s">
        <v>11</v>
      </c>
      <c r="B553" s="9" t="s">
        <v>63</v>
      </c>
      <c r="C553" s="9" t="s">
        <v>101</v>
      </c>
      <c r="D553" s="9">
        <v>457</v>
      </c>
    </row>
    <row r="554" spans="1:4" x14ac:dyDescent="0.3">
      <c r="A554" s="9" t="s">
        <v>11</v>
      </c>
      <c r="B554" s="9" t="s">
        <v>64</v>
      </c>
      <c r="C554" s="9" t="s">
        <v>101</v>
      </c>
      <c r="D554" s="9">
        <v>1</v>
      </c>
    </row>
    <row r="555" spans="1:4" x14ac:dyDescent="0.3">
      <c r="A555" s="9" t="s">
        <v>11</v>
      </c>
      <c r="B555" s="9" t="s">
        <v>77</v>
      </c>
      <c r="C555" s="9" t="s">
        <v>102</v>
      </c>
      <c r="D555" s="9">
        <v>3854</v>
      </c>
    </row>
    <row r="556" spans="1:4" x14ac:dyDescent="0.3">
      <c r="A556" s="9" t="s">
        <v>11</v>
      </c>
      <c r="B556" s="9" t="s">
        <v>65</v>
      </c>
      <c r="C556" s="9" t="s">
        <v>102</v>
      </c>
      <c r="D556" s="9">
        <v>3099</v>
      </c>
    </row>
    <row r="557" spans="1:4" x14ac:dyDescent="0.3">
      <c r="A557" s="9" t="s">
        <v>11</v>
      </c>
      <c r="B557" s="9" t="s">
        <v>66</v>
      </c>
      <c r="C557" s="9" t="s">
        <v>102</v>
      </c>
      <c r="D557" s="9">
        <v>506</v>
      </c>
    </row>
    <row r="558" spans="1:4" x14ac:dyDescent="0.3">
      <c r="A558" s="9" t="s">
        <v>11</v>
      </c>
      <c r="B558" s="9" t="s">
        <v>67</v>
      </c>
      <c r="C558" s="9" t="s">
        <v>102</v>
      </c>
      <c r="D558" s="9">
        <v>196</v>
      </c>
    </row>
    <row r="559" spans="1:4" x14ac:dyDescent="0.3">
      <c r="A559" s="9" t="s">
        <v>11</v>
      </c>
      <c r="B559" s="9" t="s">
        <v>68</v>
      </c>
      <c r="C559" s="9" t="s">
        <v>102</v>
      </c>
      <c r="D559" s="9">
        <v>30</v>
      </c>
    </row>
    <row r="560" spans="1:4" x14ac:dyDescent="0.3">
      <c r="A560" s="9" t="s">
        <v>11</v>
      </c>
      <c r="B560" s="9" t="s">
        <v>69</v>
      </c>
      <c r="C560" s="9" t="s">
        <v>102</v>
      </c>
      <c r="D560" s="9">
        <v>22</v>
      </c>
    </row>
    <row r="561" spans="1:4" x14ac:dyDescent="0.3">
      <c r="A561" s="9" t="s">
        <v>11</v>
      </c>
      <c r="B561" s="9" t="s">
        <v>70</v>
      </c>
      <c r="C561" s="9" t="s">
        <v>102</v>
      </c>
      <c r="D561" s="9">
        <v>1</v>
      </c>
    </row>
    <row r="562" spans="1:4" x14ac:dyDescent="0.3">
      <c r="A562" s="9" t="s">
        <v>11</v>
      </c>
      <c r="B562" s="9" t="s">
        <v>75</v>
      </c>
      <c r="C562" s="9" t="s">
        <v>103</v>
      </c>
      <c r="D562" s="9">
        <v>1</v>
      </c>
    </row>
    <row r="563" spans="1:4" x14ac:dyDescent="0.3">
      <c r="A563" s="9" t="s">
        <v>12</v>
      </c>
      <c r="B563" s="9" t="s">
        <v>88</v>
      </c>
      <c r="C563" s="9" t="s">
        <v>92</v>
      </c>
      <c r="D563" s="9">
        <v>4</v>
      </c>
    </row>
    <row r="564" spans="1:4" x14ac:dyDescent="0.3">
      <c r="A564" s="9" t="s">
        <v>12</v>
      </c>
      <c r="B564" s="9" t="s">
        <v>38</v>
      </c>
      <c r="C564" s="9" t="s">
        <v>93</v>
      </c>
      <c r="D564" s="9">
        <v>8</v>
      </c>
    </row>
    <row r="565" spans="1:4" x14ac:dyDescent="0.3">
      <c r="A565" s="9" t="s">
        <v>12</v>
      </c>
      <c r="B565" s="9" t="s">
        <v>87</v>
      </c>
      <c r="C565" s="9" t="s">
        <v>94</v>
      </c>
      <c r="D565" s="9">
        <v>47</v>
      </c>
    </row>
    <row r="566" spans="1:4" x14ac:dyDescent="0.3">
      <c r="A566" s="9" t="s">
        <v>12</v>
      </c>
      <c r="B566" s="9" t="s">
        <v>86</v>
      </c>
      <c r="C566" s="9" t="s">
        <v>86</v>
      </c>
      <c r="D566" s="9">
        <v>1</v>
      </c>
    </row>
    <row r="567" spans="1:4" x14ac:dyDescent="0.3">
      <c r="A567" s="9" t="s">
        <v>12</v>
      </c>
      <c r="B567" s="9" t="s">
        <v>85</v>
      </c>
      <c r="C567" s="9" t="s">
        <v>85</v>
      </c>
      <c r="D567" s="9">
        <v>5</v>
      </c>
    </row>
    <row r="568" spans="1:4" x14ac:dyDescent="0.3">
      <c r="A568" s="9" t="s">
        <v>12</v>
      </c>
      <c r="B568" s="9" t="s">
        <v>84</v>
      </c>
      <c r="C568" s="9" t="s">
        <v>85</v>
      </c>
      <c r="D568" s="9">
        <v>4</v>
      </c>
    </row>
    <row r="569" spans="1:4" x14ac:dyDescent="0.3">
      <c r="A569" s="9" t="s">
        <v>12</v>
      </c>
      <c r="B569" s="9" t="s">
        <v>83</v>
      </c>
      <c r="C569" s="9" t="s">
        <v>95</v>
      </c>
      <c r="D569" s="9">
        <v>4710</v>
      </c>
    </row>
    <row r="570" spans="1:4" x14ac:dyDescent="0.3">
      <c r="A570" s="9" t="s">
        <v>12</v>
      </c>
      <c r="B570" s="9" t="s">
        <v>39</v>
      </c>
      <c r="C570" s="9" t="s">
        <v>40</v>
      </c>
      <c r="D570" s="9">
        <v>191</v>
      </c>
    </row>
    <row r="571" spans="1:4" x14ac:dyDescent="0.3">
      <c r="A571" s="9" t="s">
        <v>12</v>
      </c>
      <c r="B571" s="9" t="s">
        <v>40</v>
      </c>
      <c r="C571" s="9" t="s">
        <v>40</v>
      </c>
      <c r="D571" s="9">
        <v>104</v>
      </c>
    </row>
    <row r="572" spans="1:4" x14ac:dyDescent="0.3">
      <c r="A572" s="9" t="s">
        <v>12</v>
      </c>
      <c r="B572" s="9" t="s">
        <v>41</v>
      </c>
      <c r="C572" s="9" t="s">
        <v>40</v>
      </c>
      <c r="D572" s="9">
        <v>1</v>
      </c>
    </row>
    <row r="573" spans="1:4" x14ac:dyDescent="0.3">
      <c r="A573" s="9" t="s">
        <v>12</v>
      </c>
      <c r="B573" s="9" t="s">
        <v>42</v>
      </c>
      <c r="C573" s="9" t="s">
        <v>40</v>
      </c>
      <c r="D573" s="9">
        <v>0</v>
      </c>
    </row>
    <row r="574" spans="1:4" x14ac:dyDescent="0.3">
      <c r="A574" s="9" t="s">
        <v>12</v>
      </c>
      <c r="B574" s="9" t="s">
        <v>43</v>
      </c>
      <c r="C574" s="9" t="s">
        <v>40</v>
      </c>
      <c r="D574" s="9">
        <v>39</v>
      </c>
    </row>
    <row r="575" spans="1:4" x14ac:dyDescent="0.3">
      <c r="A575" s="9" t="s">
        <v>12</v>
      </c>
      <c r="B575" s="9" t="s">
        <v>44</v>
      </c>
      <c r="C575" s="9" t="s">
        <v>40</v>
      </c>
      <c r="D575" s="9">
        <v>15</v>
      </c>
    </row>
    <row r="576" spans="1:4" x14ac:dyDescent="0.3">
      <c r="A576" s="9" t="s">
        <v>12</v>
      </c>
      <c r="B576" s="9" t="s">
        <v>45</v>
      </c>
      <c r="C576" s="9" t="s">
        <v>40</v>
      </c>
      <c r="D576" s="9">
        <v>24</v>
      </c>
    </row>
    <row r="577" spans="1:4" x14ac:dyDescent="0.3">
      <c r="A577" s="9" t="s">
        <v>12</v>
      </c>
      <c r="B577" s="9" t="s">
        <v>71</v>
      </c>
      <c r="C577" s="9" t="s">
        <v>40</v>
      </c>
      <c r="D577" s="9">
        <v>2</v>
      </c>
    </row>
    <row r="578" spans="1:4" x14ac:dyDescent="0.3">
      <c r="A578" s="9" t="s">
        <v>12</v>
      </c>
      <c r="B578" s="9" t="s">
        <v>72</v>
      </c>
      <c r="C578" s="9" t="s">
        <v>40</v>
      </c>
      <c r="D578" s="9">
        <v>0</v>
      </c>
    </row>
    <row r="579" spans="1:4" x14ac:dyDescent="0.3">
      <c r="A579" s="9" t="s">
        <v>12</v>
      </c>
      <c r="B579" s="9" t="s">
        <v>82</v>
      </c>
      <c r="C579" s="9" t="s">
        <v>40</v>
      </c>
      <c r="D579" s="9">
        <v>45</v>
      </c>
    </row>
    <row r="580" spans="1:4" x14ac:dyDescent="0.3">
      <c r="A580" s="9" t="s">
        <v>12</v>
      </c>
      <c r="B580" s="9" t="s">
        <v>81</v>
      </c>
      <c r="C580" s="9" t="s">
        <v>81</v>
      </c>
      <c r="D580" s="9">
        <v>15</v>
      </c>
    </row>
    <row r="581" spans="1:4" x14ac:dyDescent="0.3">
      <c r="A581" s="9" t="s">
        <v>12</v>
      </c>
      <c r="B581" s="9" t="s">
        <v>73</v>
      </c>
      <c r="C581" s="9" t="s">
        <v>81</v>
      </c>
      <c r="D581" s="9">
        <v>0</v>
      </c>
    </row>
    <row r="582" spans="1:4" x14ac:dyDescent="0.3">
      <c r="A582" s="9" t="s">
        <v>12</v>
      </c>
      <c r="B582" s="9" t="s">
        <v>80</v>
      </c>
      <c r="C582" s="9" t="s">
        <v>81</v>
      </c>
      <c r="D582" s="9">
        <v>0</v>
      </c>
    </row>
    <row r="583" spans="1:4" x14ac:dyDescent="0.3">
      <c r="A583" s="9" t="s">
        <v>12</v>
      </c>
      <c r="B583" s="9" t="s">
        <v>79</v>
      </c>
      <c r="C583" s="9" t="s">
        <v>96</v>
      </c>
      <c r="D583" s="9">
        <v>843</v>
      </c>
    </row>
    <row r="584" spans="1:4" x14ac:dyDescent="0.3">
      <c r="A584" s="9" t="s">
        <v>12</v>
      </c>
      <c r="B584" s="9" t="s">
        <v>46</v>
      </c>
      <c r="C584" s="9" t="s">
        <v>96</v>
      </c>
      <c r="D584" s="9">
        <v>843</v>
      </c>
    </row>
    <row r="585" spans="1:4" x14ac:dyDescent="0.3">
      <c r="A585" s="9" t="s">
        <v>12</v>
      </c>
      <c r="B585" s="9" t="s">
        <v>47</v>
      </c>
      <c r="C585" s="9" t="s">
        <v>96</v>
      </c>
      <c r="D585" s="9">
        <v>0</v>
      </c>
    </row>
    <row r="586" spans="1:4" x14ac:dyDescent="0.3">
      <c r="A586" s="9" t="s">
        <v>12</v>
      </c>
      <c r="B586" s="9" t="s">
        <v>48</v>
      </c>
      <c r="C586" s="9" t="s">
        <v>97</v>
      </c>
      <c r="D586" s="9">
        <v>54</v>
      </c>
    </row>
    <row r="587" spans="1:4" x14ac:dyDescent="0.3">
      <c r="A587" s="9" t="s">
        <v>12</v>
      </c>
      <c r="B587" s="9" t="s">
        <v>49</v>
      </c>
      <c r="C587" s="9" t="s">
        <v>97</v>
      </c>
      <c r="D587" s="9">
        <v>54</v>
      </c>
    </row>
    <row r="588" spans="1:4" x14ac:dyDescent="0.3">
      <c r="A588" s="9" t="s">
        <v>12</v>
      </c>
      <c r="B588" s="9" t="s">
        <v>50</v>
      </c>
      <c r="C588" s="9" t="s">
        <v>97</v>
      </c>
      <c r="D588" s="9">
        <v>0</v>
      </c>
    </row>
    <row r="589" spans="1:4" x14ac:dyDescent="0.3">
      <c r="A589" s="9" t="s">
        <v>12</v>
      </c>
      <c r="B589" s="9" t="s">
        <v>51</v>
      </c>
      <c r="C589" s="9" t="s">
        <v>99</v>
      </c>
      <c r="D589" s="9">
        <v>4816</v>
      </c>
    </row>
    <row r="590" spans="1:4" x14ac:dyDescent="0.3">
      <c r="A590" s="9" t="s">
        <v>12</v>
      </c>
      <c r="B590" s="9" t="s">
        <v>52</v>
      </c>
      <c r="C590" s="9" t="s">
        <v>99</v>
      </c>
      <c r="D590" s="9">
        <v>4586</v>
      </c>
    </row>
    <row r="591" spans="1:4" x14ac:dyDescent="0.3">
      <c r="A591" s="9" t="s">
        <v>12</v>
      </c>
      <c r="B591" s="9" t="s">
        <v>53</v>
      </c>
      <c r="C591" s="9" t="s">
        <v>99</v>
      </c>
      <c r="D591" s="9">
        <v>230</v>
      </c>
    </row>
    <row r="592" spans="1:4" x14ac:dyDescent="0.3">
      <c r="A592" s="9" t="s">
        <v>12</v>
      </c>
      <c r="B592" s="9" t="s">
        <v>54</v>
      </c>
      <c r="C592" s="9" t="s">
        <v>98</v>
      </c>
      <c r="D592" s="9">
        <v>679</v>
      </c>
    </row>
    <row r="593" spans="1:4" x14ac:dyDescent="0.3">
      <c r="A593" s="9" t="s">
        <v>12</v>
      </c>
      <c r="B593" s="9" t="s">
        <v>55</v>
      </c>
      <c r="C593" s="9" t="s">
        <v>98</v>
      </c>
      <c r="D593" s="9">
        <v>671</v>
      </c>
    </row>
    <row r="594" spans="1:4" x14ac:dyDescent="0.3">
      <c r="A594" s="9" t="s">
        <v>12</v>
      </c>
      <c r="B594" s="9" t="s">
        <v>56</v>
      </c>
      <c r="C594" s="9" t="s">
        <v>98</v>
      </c>
      <c r="D594" s="9">
        <v>8</v>
      </c>
    </row>
    <row r="595" spans="1:4" x14ac:dyDescent="0.3">
      <c r="A595" s="9" t="s">
        <v>12</v>
      </c>
      <c r="B595" s="9" t="s">
        <v>74</v>
      </c>
      <c r="C595" s="9" t="s">
        <v>74</v>
      </c>
      <c r="D595" s="9">
        <v>21</v>
      </c>
    </row>
    <row r="596" spans="1:4" x14ac:dyDescent="0.3">
      <c r="A596" s="9" t="s">
        <v>12</v>
      </c>
      <c r="B596" s="9" t="s">
        <v>57</v>
      </c>
      <c r="C596" s="9" t="s">
        <v>100</v>
      </c>
      <c r="D596" s="9">
        <v>13</v>
      </c>
    </row>
    <row r="597" spans="1:4" x14ac:dyDescent="0.3">
      <c r="A597" s="9" t="s">
        <v>12</v>
      </c>
      <c r="B597" s="9" t="s">
        <v>76</v>
      </c>
      <c r="C597" s="9" t="s">
        <v>100</v>
      </c>
      <c r="D597" s="9">
        <v>0</v>
      </c>
    </row>
    <row r="598" spans="1:4" x14ac:dyDescent="0.3">
      <c r="A598" s="9" t="s">
        <v>12</v>
      </c>
      <c r="B598" s="9" t="s">
        <v>58</v>
      </c>
      <c r="C598" s="9" t="s">
        <v>100</v>
      </c>
      <c r="D598" s="9">
        <v>1</v>
      </c>
    </row>
    <row r="599" spans="1:4" x14ac:dyDescent="0.3">
      <c r="A599" s="9" t="s">
        <v>12</v>
      </c>
      <c r="B599" s="9" t="s">
        <v>59</v>
      </c>
      <c r="C599" s="9" t="s">
        <v>100</v>
      </c>
      <c r="D599" s="9">
        <v>3</v>
      </c>
    </row>
    <row r="600" spans="1:4" x14ac:dyDescent="0.3">
      <c r="A600" s="9" t="s">
        <v>12</v>
      </c>
      <c r="B600" s="9" t="s">
        <v>60</v>
      </c>
      <c r="C600" s="9" t="s">
        <v>100</v>
      </c>
      <c r="D600" s="9">
        <v>1</v>
      </c>
    </row>
    <row r="601" spans="1:4" x14ac:dyDescent="0.3">
      <c r="A601" s="9" t="s">
        <v>12</v>
      </c>
      <c r="B601" s="9" t="s">
        <v>61</v>
      </c>
      <c r="C601" s="9" t="s">
        <v>100</v>
      </c>
      <c r="D601" s="9">
        <v>8</v>
      </c>
    </row>
    <row r="602" spans="1:4" x14ac:dyDescent="0.3">
      <c r="A602" s="9" t="s">
        <v>12</v>
      </c>
      <c r="B602" s="9" t="s">
        <v>78</v>
      </c>
      <c r="C602" s="9" t="s">
        <v>95</v>
      </c>
      <c r="D602" s="9">
        <v>480</v>
      </c>
    </row>
    <row r="603" spans="1:4" x14ac:dyDescent="0.3">
      <c r="A603" s="9" t="s">
        <v>12</v>
      </c>
      <c r="B603" s="9" t="s">
        <v>62</v>
      </c>
      <c r="C603" s="9" t="s">
        <v>101</v>
      </c>
      <c r="D603" s="9">
        <v>369</v>
      </c>
    </row>
    <row r="604" spans="1:4" x14ac:dyDescent="0.3">
      <c r="A604" s="9" t="s">
        <v>12</v>
      </c>
      <c r="B604" s="9" t="s">
        <v>63</v>
      </c>
      <c r="C604" s="9" t="s">
        <v>101</v>
      </c>
      <c r="D604" s="9">
        <v>333</v>
      </c>
    </row>
    <row r="605" spans="1:4" x14ac:dyDescent="0.3">
      <c r="A605" s="9" t="s">
        <v>12</v>
      </c>
      <c r="B605" s="9" t="s">
        <v>64</v>
      </c>
      <c r="C605" s="9" t="s">
        <v>101</v>
      </c>
      <c r="D605" s="9">
        <v>36</v>
      </c>
    </row>
    <row r="606" spans="1:4" x14ac:dyDescent="0.3">
      <c r="A606" s="9" t="s">
        <v>12</v>
      </c>
      <c r="B606" s="9" t="s">
        <v>77</v>
      </c>
      <c r="C606" s="9" t="s">
        <v>102</v>
      </c>
      <c r="D606" s="9">
        <v>3765</v>
      </c>
    </row>
    <row r="607" spans="1:4" x14ac:dyDescent="0.3">
      <c r="A607" s="9" t="s">
        <v>12</v>
      </c>
      <c r="B607" s="9" t="s">
        <v>65</v>
      </c>
      <c r="C607" s="9" t="s">
        <v>102</v>
      </c>
      <c r="D607" s="9">
        <v>1719</v>
      </c>
    </row>
    <row r="608" spans="1:4" x14ac:dyDescent="0.3">
      <c r="A608" s="9" t="s">
        <v>12</v>
      </c>
      <c r="B608" s="9" t="s">
        <v>66</v>
      </c>
      <c r="C608" s="9" t="s">
        <v>102</v>
      </c>
      <c r="D608" s="9">
        <v>1529</v>
      </c>
    </row>
    <row r="609" spans="1:4" x14ac:dyDescent="0.3">
      <c r="A609" s="9" t="s">
        <v>12</v>
      </c>
      <c r="B609" s="9" t="s">
        <v>67</v>
      </c>
      <c r="C609" s="9" t="s">
        <v>102</v>
      </c>
      <c r="D609" s="9">
        <v>469</v>
      </c>
    </row>
    <row r="610" spans="1:4" x14ac:dyDescent="0.3">
      <c r="A610" s="9" t="s">
        <v>12</v>
      </c>
      <c r="B610" s="9" t="s">
        <v>68</v>
      </c>
      <c r="C610" s="9" t="s">
        <v>102</v>
      </c>
      <c r="D610" s="9">
        <v>34</v>
      </c>
    </row>
    <row r="611" spans="1:4" x14ac:dyDescent="0.3">
      <c r="A611" s="9" t="s">
        <v>12</v>
      </c>
      <c r="B611" s="9" t="s">
        <v>69</v>
      </c>
      <c r="C611" s="9" t="s">
        <v>102</v>
      </c>
      <c r="D611" s="9">
        <v>14</v>
      </c>
    </row>
    <row r="612" spans="1:4" x14ac:dyDescent="0.3">
      <c r="A612" s="9" t="s">
        <v>12</v>
      </c>
      <c r="B612" s="9" t="s">
        <v>70</v>
      </c>
      <c r="C612" s="9" t="s">
        <v>102</v>
      </c>
      <c r="D612" s="9">
        <v>0</v>
      </c>
    </row>
    <row r="613" spans="1:4" x14ac:dyDescent="0.3">
      <c r="A613" s="9" t="s">
        <v>12</v>
      </c>
      <c r="B613" s="9" t="s">
        <v>75</v>
      </c>
      <c r="C613" s="9" t="s">
        <v>103</v>
      </c>
      <c r="D613" s="9">
        <v>0</v>
      </c>
    </row>
    <row r="614" spans="1:4" x14ac:dyDescent="0.3">
      <c r="A614" s="9" t="s">
        <v>13</v>
      </c>
      <c r="B614" s="9" t="s">
        <v>88</v>
      </c>
      <c r="C614" s="9" t="s">
        <v>92</v>
      </c>
      <c r="D614" s="9">
        <v>29</v>
      </c>
    </row>
    <row r="615" spans="1:4" x14ac:dyDescent="0.3">
      <c r="A615" s="9" t="s">
        <v>13</v>
      </c>
      <c r="B615" s="9" t="s">
        <v>38</v>
      </c>
      <c r="C615" s="9" t="s">
        <v>93</v>
      </c>
      <c r="D615" s="9">
        <v>468</v>
      </c>
    </row>
    <row r="616" spans="1:4" x14ac:dyDescent="0.3">
      <c r="A616" s="9" t="s">
        <v>13</v>
      </c>
      <c r="B616" s="9" t="s">
        <v>87</v>
      </c>
      <c r="C616" s="9" t="s">
        <v>94</v>
      </c>
      <c r="D616" s="9">
        <v>716</v>
      </c>
    </row>
    <row r="617" spans="1:4" x14ac:dyDescent="0.3">
      <c r="A617" s="9" t="s">
        <v>13</v>
      </c>
      <c r="B617" s="9" t="s">
        <v>86</v>
      </c>
      <c r="C617" s="9" t="s">
        <v>86</v>
      </c>
      <c r="D617" s="9">
        <v>24</v>
      </c>
    </row>
    <row r="618" spans="1:4" x14ac:dyDescent="0.3">
      <c r="A618" s="9" t="s">
        <v>13</v>
      </c>
      <c r="B618" s="9" t="s">
        <v>85</v>
      </c>
      <c r="C618" s="9" t="s">
        <v>85</v>
      </c>
      <c r="D618" s="9">
        <v>3</v>
      </c>
    </row>
    <row r="619" spans="1:4" x14ac:dyDescent="0.3">
      <c r="A619" s="9" t="s">
        <v>13</v>
      </c>
      <c r="B619" s="9" t="s">
        <v>84</v>
      </c>
      <c r="C619" s="9" t="s">
        <v>85</v>
      </c>
      <c r="D619" s="9">
        <v>2</v>
      </c>
    </row>
    <row r="620" spans="1:4" x14ac:dyDescent="0.3">
      <c r="A620" s="9" t="s">
        <v>13</v>
      </c>
      <c r="B620" s="9" t="s">
        <v>83</v>
      </c>
      <c r="C620" s="9" t="s">
        <v>95</v>
      </c>
      <c r="D620" s="9">
        <v>7577</v>
      </c>
    </row>
    <row r="621" spans="1:4" x14ac:dyDescent="0.3">
      <c r="A621" s="9" t="s">
        <v>13</v>
      </c>
      <c r="B621" s="9" t="s">
        <v>39</v>
      </c>
      <c r="C621" s="9" t="s">
        <v>40</v>
      </c>
      <c r="D621" s="9">
        <v>8557</v>
      </c>
    </row>
    <row r="622" spans="1:4" x14ac:dyDescent="0.3">
      <c r="A622" s="9" t="s">
        <v>13</v>
      </c>
      <c r="B622" s="9" t="s">
        <v>40</v>
      </c>
      <c r="C622" s="9" t="s">
        <v>40</v>
      </c>
      <c r="D622" s="9">
        <v>6833</v>
      </c>
    </row>
    <row r="623" spans="1:4" x14ac:dyDescent="0.3">
      <c r="A623" s="9" t="s">
        <v>13</v>
      </c>
      <c r="B623" s="9" t="s">
        <v>41</v>
      </c>
      <c r="C623" s="9" t="s">
        <v>40</v>
      </c>
      <c r="D623" s="9">
        <v>1</v>
      </c>
    </row>
    <row r="624" spans="1:4" x14ac:dyDescent="0.3">
      <c r="A624" s="9" t="s">
        <v>13</v>
      </c>
      <c r="B624" s="9" t="s">
        <v>42</v>
      </c>
      <c r="C624" s="9" t="s">
        <v>40</v>
      </c>
      <c r="D624" s="9">
        <v>3</v>
      </c>
    </row>
    <row r="625" spans="1:4" x14ac:dyDescent="0.3">
      <c r="A625" s="9" t="s">
        <v>13</v>
      </c>
      <c r="B625" s="9" t="s">
        <v>43</v>
      </c>
      <c r="C625" s="9" t="s">
        <v>40</v>
      </c>
      <c r="D625" s="9">
        <v>1673</v>
      </c>
    </row>
    <row r="626" spans="1:4" x14ac:dyDescent="0.3">
      <c r="A626" s="9" t="s">
        <v>13</v>
      </c>
      <c r="B626" s="9" t="s">
        <v>44</v>
      </c>
      <c r="C626" s="9" t="s">
        <v>40</v>
      </c>
      <c r="D626" s="9">
        <v>51</v>
      </c>
    </row>
    <row r="627" spans="1:4" x14ac:dyDescent="0.3">
      <c r="A627" s="9" t="s">
        <v>13</v>
      </c>
      <c r="B627" s="9" t="s">
        <v>45</v>
      </c>
      <c r="C627" s="9" t="s">
        <v>40</v>
      </c>
      <c r="D627" s="9">
        <v>1622</v>
      </c>
    </row>
    <row r="628" spans="1:4" x14ac:dyDescent="0.3">
      <c r="A628" s="9" t="s">
        <v>13</v>
      </c>
      <c r="B628" s="9" t="s">
        <v>71</v>
      </c>
      <c r="C628" s="9" t="s">
        <v>40</v>
      </c>
      <c r="D628" s="9">
        <v>33</v>
      </c>
    </row>
    <row r="629" spans="1:4" x14ac:dyDescent="0.3">
      <c r="A629" s="9" t="s">
        <v>13</v>
      </c>
      <c r="B629" s="9" t="s">
        <v>72</v>
      </c>
      <c r="C629" s="9" t="s">
        <v>40</v>
      </c>
      <c r="D629" s="9">
        <v>0</v>
      </c>
    </row>
    <row r="630" spans="1:4" x14ac:dyDescent="0.3">
      <c r="A630" s="9" t="s">
        <v>13</v>
      </c>
      <c r="B630" s="9" t="s">
        <v>82</v>
      </c>
      <c r="C630" s="9" t="s">
        <v>40</v>
      </c>
      <c r="D630" s="9">
        <v>14</v>
      </c>
    </row>
    <row r="631" spans="1:4" x14ac:dyDescent="0.3">
      <c r="A631" s="9" t="s">
        <v>13</v>
      </c>
      <c r="B631" s="9" t="s">
        <v>81</v>
      </c>
      <c r="C631" s="9" t="s">
        <v>81</v>
      </c>
      <c r="D631" s="9">
        <v>33</v>
      </c>
    </row>
    <row r="632" spans="1:4" x14ac:dyDescent="0.3">
      <c r="A632" s="9" t="s">
        <v>13</v>
      </c>
      <c r="B632" s="9" t="s">
        <v>73</v>
      </c>
      <c r="C632" s="9" t="s">
        <v>81</v>
      </c>
      <c r="D632" s="9">
        <v>2</v>
      </c>
    </row>
    <row r="633" spans="1:4" x14ac:dyDescent="0.3">
      <c r="A633" s="9" t="s">
        <v>13</v>
      </c>
      <c r="B633" s="9" t="s">
        <v>80</v>
      </c>
      <c r="C633" s="9" t="s">
        <v>81</v>
      </c>
      <c r="D633" s="9">
        <v>2</v>
      </c>
    </row>
    <row r="634" spans="1:4" x14ac:dyDescent="0.3">
      <c r="A634" s="9" t="s">
        <v>13</v>
      </c>
      <c r="B634" s="9" t="s">
        <v>79</v>
      </c>
      <c r="C634" s="9" t="s">
        <v>96</v>
      </c>
      <c r="D634" s="9">
        <v>2979</v>
      </c>
    </row>
    <row r="635" spans="1:4" x14ac:dyDescent="0.3">
      <c r="A635" s="9" t="s">
        <v>13</v>
      </c>
      <c r="B635" s="9" t="s">
        <v>46</v>
      </c>
      <c r="C635" s="9" t="s">
        <v>96</v>
      </c>
      <c r="D635" s="9">
        <v>2979</v>
      </c>
    </row>
    <row r="636" spans="1:4" x14ac:dyDescent="0.3">
      <c r="A636" s="9" t="s">
        <v>13</v>
      </c>
      <c r="B636" s="9" t="s">
        <v>47</v>
      </c>
      <c r="C636" s="9" t="s">
        <v>96</v>
      </c>
      <c r="D636" s="9">
        <v>0</v>
      </c>
    </row>
    <row r="637" spans="1:4" x14ac:dyDescent="0.3">
      <c r="A637" s="9" t="s">
        <v>13</v>
      </c>
      <c r="B637" s="9" t="s">
        <v>48</v>
      </c>
      <c r="C637" s="9" t="s">
        <v>97</v>
      </c>
      <c r="D637" s="9">
        <v>38</v>
      </c>
    </row>
    <row r="638" spans="1:4" x14ac:dyDescent="0.3">
      <c r="A638" s="9" t="s">
        <v>13</v>
      </c>
      <c r="B638" s="9" t="s">
        <v>49</v>
      </c>
      <c r="C638" s="9" t="s">
        <v>97</v>
      </c>
      <c r="D638" s="9">
        <v>23</v>
      </c>
    </row>
    <row r="639" spans="1:4" x14ac:dyDescent="0.3">
      <c r="A639" s="9" t="s">
        <v>13</v>
      </c>
      <c r="B639" s="9" t="s">
        <v>50</v>
      </c>
      <c r="C639" s="9" t="s">
        <v>97</v>
      </c>
      <c r="D639" s="9">
        <v>15</v>
      </c>
    </row>
    <row r="640" spans="1:4" x14ac:dyDescent="0.3">
      <c r="A640" s="9" t="s">
        <v>13</v>
      </c>
      <c r="B640" s="9" t="s">
        <v>51</v>
      </c>
      <c r="C640" s="9" t="s">
        <v>99</v>
      </c>
      <c r="D640" s="9">
        <v>5078</v>
      </c>
    </row>
    <row r="641" spans="1:4" x14ac:dyDescent="0.3">
      <c r="A641" s="9" t="s">
        <v>13</v>
      </c>
      <c r="B641" s="9" t="s">
        <v>52</v>
      </c>
      <c r="C641" s="9" t="s">
        <v>99</v>
      </c>
      <c r="D641" s="9">
        <v>5077</v>
      </c>
    </row>
    <row r="642" spans="1:4" x14ac:dyDescent="0.3">
      <c r="A642" s="9" t="s">
        <v>13</v>
      </c>
      <c r="B642" s="9" t="s">
        <v>53</v>
      </c>
      <c r="C642" s="9" t="s">
        <v>99</v>
      </c>
      <c r="D642" s="9">
        <v>1</v>
      </c>
    </row>
    <row r="643" spans="1:4" x14ac:dyDescent="0.3">
      <c r="A643" s="9" t="s">
        <v>13</v>
      </c>
      <c r="B643" s="9" t="s">
        <v>54</v>
      </c>
      <c r="C643" s="9" t="s">
        <v>98</v>
      </c>
      <c r="D643" s="9">
        <v>243</v>
      </c>
    </row>
    <row r="644" spans="1:4" x14ac:dyDescent="0.3">
      <c r="A644" s="9" t="s">
        <v>13</v>
      </c>
      <c r="B644" s="9" t="s">
        <v>55</v>
      </c>
      <c r="C644" s="9" t="s">
        <v>98</v>
      </c>
      <c r="D644" s="9">
        <v>237</v>
      </c>
    </row>
    <row r="645" spans="1:4" x14ac:dyDescent="0.3">
      <c r="A645" s="9" t="s">
        <v>13</v>
      </c>
      <c r="B645" s="9" t="s">
        <v>56</v>
      </c>
      <c r="C645" s="9" t="s">
        <v>98</v>
      </c>
      <c r="D645" s="9">
        <v>6</v>
      </c>
    </row>
    <row r="646" spans="1:4" x14ac:dyDescent="0.3">
      <c r="A646" s="9" t="s">
        <v>13</v>
      </c>
      <c r="B646" s="9" t="s">
        <v>74</v>
      </c>
      <c r="C646" s="9" t="s">
        <v>74</v>
      </c>
      <c r="D646" s="9">
        <v>65</v>
      </c>
    </row>
    <row r="647" spans="1:4" x14ac:dyDescent="0.3">
      <c r="A647" s="9" t="s">
        <v>13</v>
      </c>
      <c r="B647" s="9" t="s">
        <v>57</v>
      </c>
      <c r="C647" s="9" t="s">
        <v>100</v>
      </c>
      <c r="D647" s="9">
        <v>21</v>
      </c>
    </row>
    <row r="648" spans="1:4" x14ac:dyDescent="0.3">
      <c r="A648" s="9" t="s">
        <v>13</v>
      </c>
      <c r="B648" s="9" t="s">
        <v>76</v>
      </c>
      <c r="C648" s="9" t="s">
        <v>100</v>
      </c>
      <c r="D648" s="9">
        <v>5</v>
      </c>
    </row>
    <row r="649" spans="1:4" x14ac:dyDescent="0.3">
      <c r="A649" s="9" t="s">
        <v>13</v>
      </c>
      <c r="B649" s="9" t="s">
        <v>58</v>
      </c>
      <c r="C649" s="9" t="s">
        <v>100</v>
      </c>
      <c r="D649" s="9">
        <v>2</v>
      </c>
    </row>
    <row r="650" spans="1:4" x14ac:dyDescent="0.3">
      <c r="A650" s="9" t="s">
        <v>13</v>
      </c>
      <c r="B650" s="9" t="s">
        <v>59</v>
      </c>
      <c r="C650" s="9" t="s">
        <v>100</v>
      </c>
      <c r="D650" s="9">
        <v>9</v>
      </c>
    </row>
    <row r="651" spans="1:4" x14ac:dyDescent="0.3">
      <c r="A651" s="9" t="s">
        <v>13</v>
      </c>
      <c r="B651" s="9" t="s">
        <v>60</v>
      </c>
      <c r="C651" s="9" t="s">
        <v>100</v>
      </c>
      <c r="D651" s="9">
        <v>2</v>
      </c>
    </row>
    <row r="652" spans="1:4" x14ac:dyDescent="0.3">
      <c r="A652" s="9" t="s">
        <v>13</v>
      </c>
      <c r="B652" s="9" t="s">
        <v>61</v>
      </c>
      <c r="C652" s="9" t="s">
        <v>100</v>
      </c>
      <c r="D652" s="9">
        <v>3</v>
      </c>
    </row>
    <row r="653" spans="1:4" x14ac:dyDescent="0.3">
      <c r="A653" s="9" t="s">
        <v>13</v>
      </c>
      <c r="B653" s="9" t="s">
        <v>78</v>
      </c>
      <c r="C653" s="9" t="s">
        <v>95</v>
      </c>
      <c r="D653" s="9">
        <v>20</v>
      </c>
    </row>
    <row r="654" spans="1:4" x14ac:dyDescent="0.3">
      <c r="A654" s="9" t="s">
        <v>13</v>
      </c>
      <c r="B654" s="9" t="s">
        <v>62</v>
      </c>
      <c r="C654" s="9" t="s">
        <v>101</v>
      </c>
      <c r="D654" s="9">
        <v>52</v>
      </c>
    </row>
    <row r="655" spans="1:4" x14ac:dyDescent="0.3">
      <c r="A655" s="9" t="s">
        <v>13</v>
      </c>
      <c r="B655" s="9" t="s">
        <v>63</v>
      </c>
      <c r="C655" s="9" t="s">
        <v>101</v>
      </c>
      <c r="D655" s="9">
        <v>38</v>
      </c>
    </row>
    <row r="656" spans="1:4" x14ac:dyDescent="0.3">
      <c r="A656" s="9" t="s">
        <v>13</v>
      </c>
      <c r="B656" s="9" t="s">
        <v>64</v>
      </c>
      <c r="C656" s="9" t="s">
        <v>101</v>
      </c>
      <c r="D656" s="9">
        <v>14</v>
      </c>
    </row>
    <row r="657" spans="1:4" x14ac:dyDescent="0.3">
      <c r="A657" s="9" t="s">
        <v>13</v>
      </c>
      <c r="B657" s="9" t="s">
        <v>77</v>
      </c>
      <c r="C657" s="9" t="s">
        <v>102</v>
      </c>
      <c r="D657" s="9">
        <v>6429</v>
      </c>
    </row>
    <row r="658" spans="1:4" x14ac:dyDescent="0.3">
      <c r="A658" s="9" t="s">
        <v>13</v>
      </c>
      <c r="B658" s="9" t="s">
        <v>65</v>
      </c>
      <c r="C658" s="9" t="s">
        <v>102</v>
      </c>
      <c r="D658" s="9">
        <v>3849</v>
      </c>
    </row>
    <row r="659" spans="1:4" x14ac:dyDescent="0.3">
      <c r="A659" s="9" t="s">
        <v>13</v>
      </c>
      <c r="B659" s="9" t="s">
        <v>66</v>
      </c>
      <c r="C659" s="9" t="s">
        <v>102</v>
      </c>
      <c r="D659" s="9">
        <v>2501</v>
      </c>
    </row>
    <row r="660" spans="1:4" x14ac:dyDescent="0.3">
      <c r="A660" s="9" t="s">
        <v>13</v>
      </c>
      <c r="B660" s="9" t="s">
        <v>67</v>
      </c>
      <c r="C660" s="9" t="s">
        <v>102</v>
      </c>
      <c r="D660" s="9">
        <v>54</v>
      </c>
    </row>
    <row r="661" spans="1:4" x14ac:dyDescent="0.3">
      <c r="A661" s="9" t="s">
        <v>13</v>
      </c>
      <c r="B661" s="9" t="s">
        <v>68</v>
      </c>
      <c r="C661" s="9" t="s">
        <v>102</v>
      </c>
      <c r="D661" s="9">
        <v>8</v>
      </c>
    </row>
    <row r="662" spans="1:4" x14ac:dyDescent="0.3">
      <c r="A662" s="9" t="s">
        <v>13</v>
      </c>
      <c r="B662" s="9" t="s">
        <v>69</v>
      </c>
      <c r="C662" s="9" t="s">
        <v>102</v>
      </c>
      <c r="D662" s="9">
        <v>13</v>
      </c>
    </row>
    <row r="663" spans="1:4" x14ac:dyDescent="0.3">
      <c r="A663" s="9" t="s">
        <v>13</v>
      </c>
      <c r="B663" s="9" t="s">
        <v>70</v>
      </c>
      <c r="C663" s="9" t="s">
        <v>102</v>
      </c>
      <c r="D663" s="9">
        <v>4</v>
      </c>
    </row>
    <row r="664" spans="1:4" x14ac:dyDescent="0.3">
      <c r="A664" s="9" t="s">
        <v>13</v>
      </c>
      <c r="B664" s="9" t="s">
        <v>75</v>
      </c>
      <c r="C664" s="9" t="s">
        <v>103</v>
      </c>
      <c r="D664" s="9">
        <v>4</v>
      </c>
    </row>
    <row r="665" spans="1:4" x14ac:dyDescent="0.3">
      <c r="A665" s="9" t="s">
        <v>14</v>
      </c>
      <c r="B665" s="9" t="s">
        <v>88</v>
      </c>
      <c r="C665" s="9" t="s">
        <v>92</v>
      </c>
      <c r="D665" s="9">
        <v>29</v>
      </c>
    </row>
    <row r="666" spans="1:4" x14ac:dyDescent="0.3">
      <c r="A666" s="9" t="s">
        <v>14</v>
      </c>
      <c r="B666" s="9" t="s">
        <v>38</v>
      </c>
      <c r="C666" s="9" t="s">
        <v>93</v>
      </c>
      <c r="D666" s="9">
        <v>170</v>
      </c>
    </row>
    <row r="667" spans="1:4" x14ac:dyDescent="0.3">
      <c r="A667" s="9" t="s">
        <v>14</v>
      </c>
      <c r="B667" s="9" t="s">
        <v>87</v>
      </c>
      <c r="C667" s="9" t="s">
        <v>94</v>
      </c>
      <c r="D667" s="9">
        <v>742</v>
      </c>
    </row>
    <row r="668" spans="1:4" x14ac:dyDescent="0.3">
      <c r="A668" s="9" t="s">
        <v>14</v>
      </c>
      <c r="B668" s="9" t="s">
        <v>86</v>
      </c>
      <c r="C668" s="9" t="s">
        <v>86</v>
      </c>
      <c r="D668" s="9">
        <v>42</v>
      </c>
    </row>
    <row r="669" spans="1:4" x14ac:dyDescent="0.3">
      <c r="A669" s="9" t="s">
        <v>14</v>
      </c>
      <c r="B669" s="9" t="s">
        <v>85</v>
      </c>
      <c r="C669" s="9" t="s">
        <v>85</v>
      </c>
      <c r="D669" s="9">
        <v>3</v>
      </c>
    </row>
    <row r="670" spans="1:4" x14ac:dyDescent="0.3">
      <c r="A670" s="9" t="s">
        <v>14</v>
      </c>
      <c r="B670" s="9" t="s">
        <v>84</v>
      </c>
      <c r="C670" s="9" t="s">
        <v>85</v>
      </c>
      <c r="D670" s="9">
        <v>5</v>
      </c>
    </row>
    <row r="671" spans="1:4" x14ac:dyDescent="0.3">
      <c r="A671" s="9" t="s">
        <v>14</v>
      </c>
      <c r="B671" s="9" t="s">
        <v>83</v>
      </c>
      <c r="C671" s="9" t="s">
        <v>95</v>
      </c>
      <c r="D671" s="9">
        <v>11226</v>
      </c>
    </row>
    <row r="672" spans="1:4" x14ac:dyDescent="0.3">
      <c r="A672" s="9" t="s">
        <v>14</v>
      </c>
      <c r="B672" s="9" t="s">
        <v>39</v>
      </c>
      <c r="C672" s="9" t="s">
        <v>40</v>
      </c>
      <c r="D672" s="9">
        <v>9361</v>
      </c>
    </row>
    <row r="673" spans="1:4" x14ac:dyDescent="0.3">
      <c r="A673" s="9" t="s">
        <v>14</v>
      </c>
      <c r="B673" s="9" t="s">
        <v>40</v>
      </c>
      <c r="C673" s="9" t="s">
        <v>40</v>
      </c>
      <c r="D673" s="9">
        <v>9147</v>
      </c>
    </row>
    <row r="674" spans="1:4" x14ac:dyDescent="0.3">
      <c r="A674" s="9" t="s">
        <v>14</v>
      </c>
      <c r="B674" s="9" t="s">
        <v>41</v>
      </c>
      <c r="C674" s="9" t="s">
        <v>40</v>
      </c>
      <c r="D674" s="9">
        <v>2</v>
      </c>
    </row>
    <row r="675" spans="1:4" x14ac:dyDescent="0.3">
      <c r="A675" s="9" t="s">
        <v>14</v>
      </c>
      <c r="B675" s="9" t="s">
        <v>42</v>
      </c>
      <c r="C675" s="9" t="s">
        <v>40</v>
      </c>
      <c r="D675" s="9">
        <v>8</v>
      </c>
    </row>
    <row r="676" spans="1:4" x14ac:dyDescent="0.3">
      <c r="A676" s="9" t="s">
        <v>14</v>
      </c>
      <c r="B676" s="9" t="s">
        <v>43</v>
      </c>
      <c r="C676" s="9" t="s">
        <v>40</v>
      </c>
      <c r="D676" s="9">
        <v>138</v>
      </c>
    </row>
    <row r="677" spans="1:4" x14ac:dyDescent="0.3">
      <c r="A677" s="9" t="s">
        <v>14</v>
      </c>
      <c r="B677" s="9" t="s">
        <v>44</v>
      </c>
      <c r="C677" s="9" t="s">
        <v>40</v>
      </c>
      <c r="D677" s="9">
        <v>47</v>
      </c>
    </row>
    <row r="678" spans="1:4" x14ac:dyDescent="0.3">
      <c r="A678" s="9" t="s">
        <v>14</v>
      </c>
      <c r="B678" s="9" t="s">
        <v>45</v>
      </c>
      <c r="C678" s="9" t="s">
        <v>40</v>
      </c>
      <c r="D678" s="9">
        <v>91</v>
      </c>
    </row>
    <row r="679" spans="1:4" x14ac:dyDescent="0.3">
      <c r="A679" s="9" t="s">
        <v>14</v>
      </c>
      <c r="B679" s="9" t="s">
        <v>71</v>
      </c>
      <c r="C679" s="9" t="s">
        <v>40</v>
      </c>
      <c r="D679" s="9">
        <v>30</v>
      </c>
    </row>
    <row r="680" spans="1:4" x14ac:dyDescent="0.3">
      <c r="A680" s="9" t="s">
        <v>14</v>
      </c>
      <c r="B680" s="9" t="s">
        <v>72</v>
      </c>
      <c r="C680" s="9" t="s">
        <v>40</v>
      </c>
      <c r="D680" s="9">
        <v>1</v>
      </c>
    </row>
    <row r="681" spans="1:4" x14ac:dyDescent="0.3">
      <c r="A681" s="9" t="s">
        <v>14</v>
      </c>
      <c r="B681" s="9" t="s">
        <v>82</v>
      </c>
      <c r="C681" s="9" t="s">
        <v>40</v>
      </c>
      <c r="D681" s="9">
        <v>35</v>
      </c>
    </row>
    <row r="682" spans="1:4" x14ac:dyDescent="0.3">
      <c r="A682" s="9" t="s">
        <v>14</v>
      </c>
      <c r="B682" s="9" t="s">
        <v>81</v>
      </c>
      <c r="C682" s="9" t="s">
        <v>81</v>
      </c>
      <c r="D682" s="9">
        <v>314</v>
      </c>
    </row>
    <row r="683" spans="1:4" x14ac:dyDescent="0.3">
      <c r="A683" s="9" t="s">
        <v>14</v>
      </c>
      <c r="B683" s="9" t="s">
        <v>73</v>
      </c>
      <c r="C683" s="9" t="s">
        <v>81</v>
      </c>
      <c r="D683" s="9">
        <v>1</v>
      </c>
    </row>
    <row r="684" spans="1:4" x14ac:dyDescent="0.3">
      <c r="A684" s="9" t="s">
        <v>14</v>
      </c>
      <c r="B684" s="9" t="s">
        <v>80</v>
      </c>
      <c r="C684" s="9" t="s">
        <v>81</v>
      </c>
      <c r="D684" s="9">
        <v>0</v>
      </c>
    </row>
    <row r="685" spans="1:4" x14ac:dyDescent="0.3">
      <c r="A685" s="9" t="s">
        <v>14</v>
      </c>
      <c r="B685" s="9" t="s">
        <v>79</v>
      </c>
      <c r="C685" s="9" t="s">
        <v>96</v>
      </c>
      <c r="D685" s="9">
        <v>2930</v>
      </c>
    </row>
    <row r="686" spans="1:4" x14ac:dyDescent="0.3">
      <c r="A686" s="9" t="s">
        <v>14</v>
      </c>
      <c r="B686" s="9" t="s">
        <v>46</v>
      </c>
      <c r="C686" s="9" t="s">
        <v>96</v>
      </c>
      <c r="D686" s="9">
        <v>2930</v>
      </c>
    </row>
    <row r="687" spans="1:4" x14ac:dyDescent="0.3">
      <c r="A687" s="9" t="s">
        <v>14</v>
      </c>
      <c r="B687" s="9" t="s">
        <v>47</v>
      </c>
      <c r="C687" s="9" t="s">
        <v>96</v>
      </c>
      <c r="D687" s="9">
        <v>0</v>
      </c>
    </row>
    <row r="688" spans="1:4" x14ac:dyDescent="0.3">
      <c r="A688" s="9" t="s">
        <v>14</v>
      </c>
      <c r="B688" s="9" t="s">
        <v>48</v>
      </c>
      <c r="C688" s="9" t="s">
        <v>97</v>
      </c>
      <c r="D688" s="9">
        <v>0</v>
      </c>
    </row>
    <row r="689" spans="1:4" x14ac:dyDescent="0.3">
      <c r="A689" s="9" t="s">
        <v>14</v>
      </c>
      <c r="B689" s="9" t="s">
        <v>49</v>
      </c>
      <c r="C689" s="9" t="s">
        <v>97</v>
      </c>
      <c r="D689" s="9">
        <v>0</v>
      </c>
    </row>
    <row r="690" spans="1:4" x14ac:dyDescent="0.3">
      <c r="A690" s="9" t="s">
        <v>14</v>
      </c>
      <c r="B690" s="9" t="s">
        <v>50</v>
      </c>
      <c r="C690" s="9" t="s">
        <v>97</v>
      </c>
      <c r="D690" s="9">
        <v>0</v>
      </c>
    </row>
    <row r="691" spans="1:4" x14ac:dyDescent="0.3">
      <c r="A691" s="9" t="s">
        <v>14</v>
      </c>
      <c r="B691" s="9" t="s">
        <v>51</v>
      </c>
      <c r="C691" s="9" t="s">
        <v>99</v>
      </c>
      <c r="D691" s="9">
        <v>12133</v>
      </c>
    </row>
    <row r="692" spans="1:4" x14ac:dyDescent="0.3">
      <c r="A692" s="9" t="s">
        <v>14</v>
      </c>
      <c r="B692" s="9" t="s">
        <v>52</v>
      </c>
      <c r="C692" s="9" t="s">
        <v>99</v>
      </c>
      <c r="D692" s="9">
        <v>12133</v>
      </c>
    </row>
    <row r="693" spans="1:4" x14ac:dyDescent="0.3">
      <c r="A693" s="9" t="s">
        <v>14</v>
      </c>
      <c r="B693" s="9" t="s">
        <v>53</v>
      </c>
      <c r="C693" s="9" t="s">
        <v>99</v>
      </c>
      <c r="D693" s="9">
        <v>0</v>
      </c>
    </row>
    <row r="694" spans="1:4" x14ac:dyDescent="0.3">
      <c r="A694" s="9" t="s">
        <v>14</v>
      </c>
      <c r="B694" s="9" t="s">
        <v>54</v>
      </c>
      <c r="C694" s="9" t="s">
        <v>98</v>
      </c>
      <c r="D694" s="9">
        <v>1309</v>
      </c>
    </row>
    <row r="695" spans="1:4" x14ac:dyDescent="0.3">
      <c r="A695" s="9" t="s">
        <v>14</v>
      </c>
      <c r="B695" s="9" t="s">
        <v>55</v>
      </c>
      <c r="C695" s="9" t="s">
        <v>98</v>
      </c>
      <c r="D695" s="9">
        <v>1309</v>
      </c>
    </row>
    <row r="696" spans="1:4" x14ac:dyDescent="0.3">
      <c r="A696" s="9" t="s">
        <v>14</v>
      </c>
      <c r="B696" s="9" t="s">
        <v>56</v>
      </c>
      <c r="C696" s="9" t="s">
        <v>98</v>
      </c>
      <c r="D696" s="9">
        <v>0</v>
      </c>
    </row>
    <row r="697" spans="1:4" x14ac:dyDescent="0.3">
      <c r="A697" s="9" t="s">
        <v>14</v>
      </c>
      <c r="B697" s="9" t="s">
        <v>74</v>
      </c>
      <c r="C697" s="9" t="s">
        <v>74</v>
      </c>
      <c r="D697" s="9">
        <v>17</v>
      </c>
    </row>
    <row r="698" spans="1:4" x14ac:dyDescent="0.3">
      <c r="A698" s="9" t="s">
        <v>14</v>
      </c>
      <c r="B698" s="9" t="s">
        <v>57</v>
      </c>
      <c r="C698" s="9" t="s">
        <v>100</v>
      </c>
      <c r="D698" s="9">
        <v>211</v>
      </c>
    </row>
    <row r="699" spans="1:4" x14ac:dyDescent="0.3">
      <c r="A699" s="9" t="s">
        <v>14</v>
      </c>
      <c r="B699" s="9" t="s">
        <v>76</v>
      </c>
      <c r="C699" s="9" t="s">
        <v>100</v>
      </c>
      <c r="D699" s="9">
        <v>39</v>
      </c>
    </row>
    <row r="700" spans="1:4" x14ac:dyDescent="0.3">
      <c r="A700" s="9" t="s">
        <v>14</v>
      </c>
      <c r="B700" s="9" t="s">
        <v>58</v>
      </c>
      <c r="C700" s="9" t="s">
        <v>100</v>
      </c>
      <c r="D700" s="9">
        <v>23</v>
      </c>
    </row>
    <row r="701" spans="1:4" x14ac:dyDescent="0.3">
      <c r="A701" s="9" t="s">
        <v>14</v>
      </c>
      <c r="B701" s="9" t="s">
        <v>59</v>
      </c>
      <c r="C701" s="9" t="s">
        <v>100</v>
      </c>
      <c r="D701" s="9">
        <v>26</v>
      </c>
    </row>
    <row r="702" spans="1:4" x14ac:dyDescent="0.3">
      <c r="A702" s="9" t="s">
        <v>14</v>
      </c>
      <c r="B702" s="9" t="s">
        <v>60</v>
      </c>
      <c r="C702" s="9" t="s">
        <v>100</v>
      </c>
      <c r="D702" s="9">
        <v>73</v>
      </c>
    </row>
    <row r="703" spans="1:4" x14ac:dyDescent="0.3">
      <c r="A703" s="9" t="s">
        <v>14</v>
      </c>
      <c r="B703" s="9" t="s">
        <v>61</v>
      </c>
      <c r="C703" s="9" t="s">
        <v>100</v>
      </c>
      <c r="D703" s="9">
        <v>50</v>
      </c>
    </row>
    <row r="704" spans="1:4" x14ac:dyDescent="0.3">
      <c r="A704" s="9" t="s">
        <v>14</v>
      </c>
      <c r="B704" s="9" t="s">
        <v>78</v>
      </c>
      <c r="C704" s="9" t="s">
        <v>95</v>
      </c>
      <c r="D704" s="9">
        <v>8</v>
      </c>
    </row>
    <row r="705" spans="1:4" x14ac:dyDescent="0.3">
      <c r="A705" s="9" t="s">
        <v>14</v>
      </c>
      <c r="B705" s="9" t="s">
        <v>62</v>
      </c>
      <c r="C705" s="9" t="s">
        <v>101</v>
      </c>
      <c r="D705" s="9">
        <v>81</v>
      </c>
    </row>
    <row r="706" spans="1:4" x14ac:dyDescent="0.3">
      <c r="A706" s="9" t="s">
        <v>14</v>
      </c>
      <c r="B706" s="9" t="s">
        <v>63</v>
      </c>
      <c r="C706" s="9" t="s">
        <v>101</v>
      </c>
      <c r="D706" s="9">
        <v>40</v>
      </c>
    </row>
    <row r="707" spans="1:4" x14ac:dyDescent="0.3">
      <c r="A707" s="9" t="s">
        <v>14</v>
      </c>
      <c r="B707" s="9" t="s">
        <v>64</v>
      </c>
      <c r="C707" s="9" t="s">
        <v>101</v>
      </c>
      <c r="D707" s="9">
        <v>41</v>
      </c>
    </row>
    <row r="708" spans="1:4" x14ac:dyDescent="0.3">
      <c r="A708" s="9" t="s">
        <v>14</v>
      </c>
      <c r="B708" s="9" t="s">
        <v>77</v>
      </c>
      <c r="C708" s="9" t="s">
        <v>102</v>
      </c>
      <c r="D708" s="9">
        <v>8519</v>
      </c>
    </row>
    <row r="709" spans="1:4" x14ac:dyDescent="0.3">
      <c r="A709" s="9" t="s">
        <v>14</v>
      </c>
      <c r="B709" s="9" t="s">
        <v>65</v>
      </c>
      <c r="C709" s="9" t="s">
        <v>102</v>
      </c>
      <c r="D709" s="9">
        <v>4594</v>
      </c>
    </row>
    <row r="710" spans="1:4" x14ac:dyDescent="0.3">
      <c r="A710" s="9" t="s">
        <v>14</v>
      </c>
      <c r="B710" s="9" t="s">
        <v>66</v>
      </c>
      <c r="C710" s="9" t="s">
        <v>102</v>
      </c>
      <c r="D710" s="9">
        <v>3810</v>
      </c>
    </row>
    <row r="711" spans="1:4" x14ac:dyDescent="0.3">
      <c r="A711" s="9" t="s">
        <v>14</v>
      </c>
      <c r="B711" s="9" t="s">
        <v>67</v>
      </c>
      <c r="C711" s="9" t="s">
        <v>102</v>
      </c>
      <c r="D711" s="9">
        <v>76</v>
      </c>
    </row>
    <row r="712" spans="1:4" x14ac:dyDescent="0.3">
      <c r="A712" s="9" t="s">
        <v>14</v>
      </c>
      <c r="B712" s="9" t="s">
        <v>68</v>
      </c>
      <c r="C712" s="9" t="s">
        <v>102</v>
      </c>
      <c r="D712" s="9">
        <v>9</v>
      </c>
    </row>
    <row r="713" spans="1:4" x14ac:dyDescent="0.3">
      <c r="A713" s="9" t="s">
        <v>14</v>
      </c>
      <c r="B713" s="9" t="s">
        <v>69</v>
      </c>
      <c r="C713" s="9" t="s">
        <v>102</v>
      </c>
      <c r="D713" s="9">
        <v>16</v>
      </c>
    </row>
    <row r="714" spans="1:4" x14ac:dyDescent="0.3">
      <c r="A714" s="9" t="s">
        <v>14</v>
      </c>
      <c r="B714" s="9" t="s">
        <v>70</v>
      </c>
      <c r="C714" s="9" t="s">
        <v>102</v>
      </c>
      <c r="D714" s="9">
        <v>14</v>
      </c>
    </row>
    <row r="715" spans="1:4" x14ac:dyDescent="0.3">
      <c r="A715" s="9" t="s">
        <v>14</v>
      </c>
      <c r="B715" s="9" t="s">
        <v>75</v>
      </c>
      <c r="C715" s="9" t="s">
        <v>103</v>
      </c>
      <c r="D715" s="9">
        <v>0</v>
      </c>
    </row>
    <row r="716" spans="1:4" x14ac:dyDescent="0.3">
      <c r="A716" s="9" t="s">
        <v>15</v>
      </c>
      <c r="B716" s="9" t="s">
        <v>88</v>
      </c>
      <c r="C716" s="9" t="s">
        <v>92</v>
      </c>
      <c r="D716" s="9">
        <v>1</v>
      </c>
    </row>
    <row r="717" spans="1:4" x14ac:dyDescent="0.3">
      <c r="A717" s="9" t="s">
        <v>15</v>
      </c>
      <c r="B717" s="9" t="s">
        <v>38</v>
      </c>
      <c r="C717" s="9" t="s">
        <v>93</v>
      </c>
      <c r="D717" s="9">
        <v>1</v>
      </c>
    </row>
    <row r="718" spans="1:4" x14ac:dyDescent="0.3">
      <c r="A718" s="9" t="s">
        <v>15</v>
      </c>
      <c r="B718" s="9" t="s">
        <v>87</v>
      </c>
      <c r="C718" s="9" t="s">
        <v>94</v>
      </c>
      <c r="D718" s="9">
        <v>4</v>
      </c>
    </row>
    <row r="719" spans="1:4" x14ac:dyDescent="0.3">
      <c r="A719" s="9" t="s">
        <v>15</v>
      </c>
      <c r="B719" s="9" t="s">
        <v>86</v>
      </c>
      <c r="C719" s="9" t="s">
        <v>86</v>
      </c>
      <c r="D719" s="9">
        <v>0</v>
      </c>
    </row>
    <row r="720" spans="1:4" x14ac:dyDescent="0.3">
      <c r="A720" s="9" t="s">
        <v>15</v>
      </c>
      <c r="B720" s="9" t="s">
        <v>85</v>
      </c>
      <c r="C720" s="9" t="s">
        <v>85</v>
      </c>
      <c r="D720" s="9">
        <v>0</v>
      </c>
    </row>
    <row r="721" spans="1:4" x14ac:dyDescent="0.3">
      <c r="A721" s="9" t="s">
        <v>15</v>
      </c>
      <c r="B721" s="9" t="s">
        <v>84</v>
      </c>
      <c r="C721" s="9" t="s">
        <v>85</v>
      </c>
      <c r="D721" s="9">
        <v>0</v>
      </c>
    </row>
    <row r="722" spans="1:4" x14ac:dyDescent="0.3">
      <c r="A722" s="9" t="s">
        <v>15</v>
      </c>
      <c r="B722" s="9" t="s">
        <v>83</v>
      </c>
      <c r="C722" s="9" t="s">
        <v>95</v>
      </c>
      <c r="D722" s="9">
        <v>7</v>
      </c>
    </row>
    <row r="723" spans="1:4" x14ac:dyDescent="0.3">
      <c r="A723" s="9" t="s">
        <v>15</v>
      </c>
      <c r="B723" s="9" t="s">
        <v>39</v>
      </c>
      <c r="C723" s="9" t="s">
        <v>40</v>
      </c>
      <c r="D723" s="9">
        <v>32</v>
      </c>
    </row>
    <row r="724" spans="1:4" x14ac:dyDescent="0.3">
      <c r="A724" s="9" t="s">
        <v>15</v>
      </c>
      <c r="B724" s="9" t="s">
        <v>40</v>
      </c>
      <c r="C724" s="9" t="s">
        <v>40</v>
      </c>
      <c r="D724" s="9">
        <v>2</v>
      </c>
    </row>
    <row r="725" spans="1:4" x14ac:dyDescent="0.3">
      <c r="A725" s="9" t="s">
        <v>15</v>
      </c>
      <c r="B725" s="9" t="s">
        <v>41</v>
      </c>
      <c r="C725" s="9" t="s">
        <v>40</v>
      </c>
      <c r="D725" s="9">
        <v>0</v>
      </c>
    </row>
    <row r="726" spans="1:4" x14ac:dyDescent="0.3">
      <c r="A726" s="9" t="s">
        <v>15</v>
      </c>
      <c r="B726" s="9" t="s">
        <v>42</v>
      </c>
      <c r="C726" s="9" t="s">
        <v>40</v>
      </c>
      <c r="D726" s="9">
        <v>1</v>
      </c>
    </row>
    <row r="727" spans="1:4" x14ac:dyDescent="0.3">
      <c r="A727" s="9" t="s">
        <v>15</v>
      </c>
      <c r="B727" s="9" t="s">
        <v>43</v>
      </c>
      <c r="C727" s="9" t="s">
        <v>40</v>
      </c>
      <c r="D727" s="9">
        <v>12</v>
      </c>
    </row>
    <row r="728" spans="1:4" x14ac:dyDescent="0.3">
      <c r="A728" s="9" t="s">
        <v>15</v>
      </c>
      <c r="B728" s="9" t="s">
        <v>44</v>
      </c>
      <c r="C728" s="9" t="s">
        <v>40</v>
      </c>
      <c r="D728" s="9">
        <v>7</v>
      </c>
    </row>
    <row r="729" spans="1:4" x14ac:dyDescent="0.3">
      <c r="A729" s="9" t="s">
        <v>15</v>
      </c>
      <c r="B729" s="9" t="s">
        <v>45</v>
      </c>
      <c r="C729" s="9" t="s">
        <v>40</v>
      </c>
      <c r="D729" s="9">
        <v>5</v>
      </c>
    </row>
    <row r="730" spans="1:4" x14ac:dyDescent="0.3">
      <c r="A730" s="9" t="s">
        <v>15</v>
      </c>
      <c r="B730" s="9" t="s">
        <v>71</v>
      </c>
      <c r="C730" s="9" t="s">
        <v>40</v>
      </c>
      <c r="D730" s="9">
        <v>9</v>
      </c>
    </row>
    <row r="731" spans="1:4" x14ac:dyDescent="0.3">
      <c r="A731" s="9" t="s">
        <v>15</v>
      </c>
      <c r="B731" s="9" t="s">
        <v>72</v>
      </c>
      <c r="C731" s="9" t="s">
        <v>40</v>
      </c>
      <c r="D731" s="9">
        <v>0</v>
      </c>
    </row>
    <row r="732" spans="1:4" x14ac:dyDescent="0.3">
      <c r="A732" s="9" t="s">
        <v>15</v>
      </c>
      <c r="B732" s="9" t="s">
        <v>82</v>
      </c>
      <c r="C732" s="9" t="s">
        <v>40</v>
      </c>
      <c r="D732" s="9">
        <v>8</v>
      </c>
    </row>
    <row r="733" spans="1:4" x14ac:dyDescent="0.3">
      <c r="A733" s="9" t="s">
        <v>15</v>
      </c>
      <c r="B733" s="9" t="s">
        <v>81</v>
      </c>
      <c r="C733" s="9" t="s">
        <v>81</v>
      </c>
      <c r="D733" s="9">
        <v>0</v>
      </c>
    </row>
    <row r="734" spans="1:4" x14ac:dyDescent="0.3">
      <c r="A734" s="9" t="s">
        <v>15</v>
      </c>
      <c r="B734" s="9" t="s">
        <v>73</v>
      </c>
      <c r="C734" s="9" t="s">
        <v>81</v>
      </c>
      <c r="D734" s="9">
        <v>0</v>
      </c>
    </row>
    <row r="735" spans="1:4" x14ac:dyDescent="0.3">
      <c r="A735" s="9" t="s">
        <v>15</v>
      </c>
      <c r="B735" s="9" t="s">
        <v>80</v>
      </c>
      <c r="C735" s="9" t="s">
        <v>81</v>
      </c>
      <c r="D735" s="9">
        <v>0</v>
      </c>
    </row>
    <row r="736" spans="1:4" x14ac:dyDescent="0.3">
      <c r="A736" s="9" t="s">
        <v>15</v>
      </c>
      <c r="B736" s="9" t="s">
        <v>79</v>
      </c>
      <c r="C736" s="9" t="s">
        <v>96</v>
      </c>
      <c r="D736" s="9">
        <v>27</v>
      </c>
    </row>
    <row r="737" spans="1:4" x14ac:dyDescent="0.3">
      <c r="A737" s="9" t="s">
        <v>15</v>
      </c>
      <c r="B737" s="9" t="s">
        <v>46</v>
      </c>
      <c r="C737" s="9" t="s">
        <v>96</v>
      </c>
      <c r="D737" s="9">
        <v>27</v>
      </c>
    </row>
    <row r="738" spans="1:4" x14ac:dyDescent="0.3">
      <c r="A738" s="9" t="s">
        <v>15</v>
      </c>
      <c r="B738" s="9" t="s">
        <v>47</v>
      </c>
      <c r="C738" s="9" t="s">
        <v>96</v>
      </c>
      <c r="D738" s="9">
        <v>0</v>
      </c>
    </row>
    <row r="739" spans="1:4" x14ac:dyDescent="0.3">
      <c r="A739" s="9" t="s">
        <v>15</v>
      </c>
      <c r="B739" s="9" t="s">
        <v>48</v>
      </c>
      <c r="C739" s="9" t="s">
        <v>97</v>
      </c>
      <c r="D739" s="9">
        <v>0</v>
      </c>
    </row>
    <row r="740" spans="1:4" x14ac:dyDescent="0.3">
      <c r="A740" s="9" t="s">
        <v>15</v>
      </c>
      <c r="B740" s="9" t="s">
        <v>49</v>
      </c>
      <c r="C740" s="9" t="s">
        <v>97</v>
      </c>
      <c r="D740" s="9">
        <v>0</v>
      </c>
    </row>
    <row r="741" spans="1:4" x14ac:dyDescent="0.3">
      <c r="A741" s="9" t="s">
        <v>15</v>
      </c>
      <c r="B741" s="9" t="s">
        <v>50</v>
      </c>
      <c r="C741" s="9" t="s">
        <v>97</v>
      </c>
      <c r="D741" s="9">
        <v>0</v>
      </c>
    </row>
    <row r="742" spans="1:4" x14ac:dyDescent="0.3">
      <c r="A742" s="9" t="s">
        <v>15</v>
      </c>
      <c r="B742" s="9" t="s">
        <v>51</v>
      </c>
      <c r="C742" s="9" t="s">
        <v>99</v>
      </c>
      <c r="D742" s="9">
        <v>66</v>
      </c>
    </row>
    <row r="743" spans="1:4" x14ac:dyDescent="0.3">
      <c r="A743" s="9" t="s">
        <v>15</v>
      </c>
      <c r="B743" s="9" t="s">
        <v>52</v>
      </c>
      <c r="C743" s="9" t="s">
        <v>99</v>
      </c>
      <c r="D743" s="9">
        <v>65</v>
      </c>
    </row>
    <row r="744" spans="1:4" x14ac:dyDescent="0.3">
      <c r="A744" s="9" t="s">
        <v>15</v>
      </c>
      <c r="B744" s="9" t="s">
        <v>53</v>
      </c>
      <c r="C744" s="9" t="s">
        <v>99</v>
      </c>
      <c r="D744" s="9">
        <v>1</v>
      </c>
    </row>
    <row r="745" spans="1:4" x14ac:dyDescent="0.3">
      <c r="A745" s="9" t="s">
        <v>15</v>
      </c>
      <c r="B745" s="9" t="s">
        <v>54</v>
      </c>
      <c r="C745" s="9" t="s">
        <v>98</v>
      </c>
      <c r="D745" s="9">
        <v>8</v>
      </c>
    </row>
    <row r="746" spans="1:4" x14ac:dyDescent="0.3">
      <c r="A746" s="9" t="s">
        <v>15</v>
      </c>
      <c r="B746" s="9" t="s">
        <v>55</v>
      </c>
      <c r="C746" s="9" t="s">
        <v>98</v>
      </c>
      <c r="D746" s="9">
        <v>8</v>
      </c>
    </row>
    <row r="747" spans="1:4" x14ac:dyDescent="0.3">
      <c r="A747" s="9" t="s">
        <v>15</v>
      </c>
      <c r="B747" s="9" t="s">
        <v>56</v>
      </c>
      <c r="C747" s="9" t="s">
        <v>98</v>
      </c>
      <c r="D747" s="9">
        <v>0</v>
      </c>
    </row>
    <row r="748" spans="1:4" x14ac:dyDescent="0.3">
      <c r="A748" s="9" t="s">
        <v>15</v>
      </c>
      <c r="B748" s="9" t="s">
        <v>74</v>
      </c>
      <c r="C748" s="9" t="s">
        <v>74</v>
      </c>
      <c r="D748" s="9">
        <v>0</v>
      </c>
    </row>
    <row r="749" spans="1:4" x14ac:dyDescent="0.3">
      <c r="A749" s="9" t="s">
        <v>15</v>
      </c>
      <c r="B749" s="9" t="s">
        <v>57</v>
      </c>
      <c r="C749" s="9" t="s">
        <v>100</v>
      </c>
      <c r="D749" s="9">
        <v>0</v>
      </c>
    </row>
    <row r="750" spans="1:4" x14ac:dyDescent="0.3">
      <c r="A750" s="9" t="s">
        <v>15</v>
      </c>
      <c r="B750" s="9" t="s">
        <v>76</v>
      </c>
      <c r="C750" s="9" t="s">
        <v>100</v>
      </c>
      <c r="D750" s="9">
        <v>0</v>
      </c>
    </row>
    <row r="751" spans="1:4" x14ac:dyDescent="0.3">
      <c r="A751" s="9" t="s">
        <v>15</v>
      </c>
      <c r="B751" s="9" t="s">
        <v>58</v>
      </c>
      <c r="C751" s="9" t="s">
        <v>100</v>
      </c>
      <c r="D751" s="9">
        <v>0</v>
      </c>
    </row>
    <row r="752" spans="1:4" x14ac:dyDescent="0.3">
      <c r="A752" s="9" t="s">
        <v>15</v>
      </c>
      <c r="B752" s="9" t="s">
        <v>59</v>
      </c>
      <c r="C752" s="9" t="s">
        <v>100</v>
      </c>
      <c r="D752" s="9">
        <v>0</v>
      </c>
    </row>
    <row r="753" spans="1:4" x14ac:dyDescent="0.3">
      <c r="A753" s="9" t="s">
        <v>15</v>
      </c>
      <c r="B753" s="9" t="s">
        <v>60</v>
      </c>
      <c r="C753" s="9" t="s">
        <v>100</v>
      </c>
      <c r="D753" s="9">
        <v>0</v>
      </c>
    </row>
    <row r="754" spans="1:4" x14ac:dyDescent="0.3">
      <c r="A754" s="9" t="s">
        <v>15</v>
      </c>
      <c r="B754" s="9" t="s">
        <v>61</v>
      </c>
      <c r="C754" s="9" t="s">
        <v>100</v>
      </c>
      <c r="D754" s="9">
        <v>0</v>
      </c>
    </row>
    <row r="755" spans="1:4" x14ac:dyDescent="0.3">
      <c r="A755" s="9" t="s">
        <v>15</v>
      </c>
      <c r="B755" s="9" t="s">
        <v>78</v>
      </c>
      <c r="C755" s="9" t="s">
        <v>95</v>
      </c>
      <c r="D755" s="9">
        <v>0</v>
      </c>
    </row>
    <row r="756" spans="1:4" x14ac:dyDescent="0.3">
      <c r="A756" s="9" t="s">
        <v>15</v>
      </c>
      <c r="B756" s="9" t="s">
        <v>62</v>
      </c>
      <c r="C756" s="9" t="s">
        <v>101</v>
      </c>
      <c r="D756" s="9">
        <v>0</v>
      </c>
    </row>
    <row r="757" spans="1:4" x14ac:dyDescent="0.3">
      <c r="A757" s="9" t="s">
        <v>15</v>
      </c>
      <c r="B757" s="9" t="s">
        <v>63</v>
      </c>
      <c r="C757" s="9" t="s">
        <v>101</v>
      </c>
      <c r="D757" s="9">
        <v>0</v>
      </c>
    </row>
    <row r="758" spans="1:4" x14ac:dyDescent="0.3">
      <c r="A758" s="9" t="s">
        <v>15</v>
      </c>
      <c r="B758" s="9" t="s">
        <v>64</v>
      </c>
      <c r="C758" s="9" t="s">
        <v>101</v>
      </c>
      <c r="D758" s="9">
        <v>0</v>
      </c>
    </row>
    <row r="759" spans="1:4" x14ac:dyDescent="0.3">
      <c r="A759" s="9" t="s">
        <v>15</v>
      </c>
      <c r="B759" s="9" t="s">
        <v>77</v>
      </c>
      <c r="C759" s="9" t="s">
        <v>102</v>
      </c>
      <c r="D759" s="9">
        <v>55</v>
      </c>
    </row>
    <row r="760" spans="1:4" x14ac:dyDescent="0.3">
      <c r="A760" s="9" t="s">
        <v>15</v>
      </c>
      <c r="B760" s="9" t="s">
        <v>65</v>
      </c>
      <c r="C760" s="9" t="s">
        <v>102</v>
      </c>
      <c r="D760" s="9">
        <v>43</v>
      </c>
    </row>
    <row r="761" spans="1:4" x14ac:dyDescent="0.3">
      <c r="A761" s="9" t="s">
        <v>15</v>
      </c>
      <c r="B761" s="9" t="s">
        <v>66</v>
      </c>
      <c r="C761" s="9" t="s">
        <v>102</v>
      </c>
      <c r="D761" s="9">
        <v>9</v>
      </c>
    </row>
    <row r="762" spans="1:4" x14ac:dyDescent="0.3">
      <c r="A762" s="9" t="s">
        <v>15</v>
      </c>
      <c r="B762" s="9" t="s">
        <v>67</v>
      </c>
      <c r="C762" s="9" t="s">
        <v>102</v>
      </c>
      <c r="D762" s="9">
        <v>2</v>
      </c>
    </row>
    <row r="763" spans="1:4" x14ac:dyDescent="0.3">
      <c r="A763" s="9" t="s">
        <v>15</v>
      </c>
      <c r="B763" s="9" t="s">
        <v>68</v>
      </c>
      <c r="C763" s="9" t="s">
        <v>102</v>
      </c>
      <c r="D763" s="9">
        <v>0</v>
      </c>
    </row>
    <row r="764" spans="1:4" x14ac:dyDescent="0.3">
      <c r="A764" s="9" t="s">
        <v>15</v>
      </c>
      <c r="B764" s="9" t="s">
        <v>69</v>
      </c>
      <c r="C764" s="9" t="s">
        <v>102</v>
      </c>
      <c r="D764" s="9">
        <v>1</v>
      </c>
    </row>
    <row r="765" spans="1:4" x14ac:dyDescent="0.3">
      <c r="A765" s="9" t="s">
        <v>15</v>
      </c>
      <c r="B765" s="9" t="s">
        <v>70</v>
      </c>
      <c r="C765" s="9" t="s">
        <v>102</v>
      </c>
      <c r="D765" s="9">
        <v>0</v>
      </c>
    </row>
    <row r="766" spans="1:4" x14ac:dyDescent="0.3">
      <c r="A766" s="9" t="s">
        <v>15</v>
      </c>
      <c r="B766" s="9" t="s">
        <v>75</v>
      </c>
      <c r="C766" s="9" t="s">
        <v>103</v>
      </c>
      <c r="D766" s="9">
        <v>0</v>
      </c>
    </row>
    <row r="767" spans="1:4" x14ac:dyDescent="0.3">
      <c r="A767" s="9" t="s">
        <v>16</v>
      </c>
      <c r="B767" s="9" t="s">
        <v>88</v>
      </c>
      <c r="C767" s="9" t="s">
        <v>92</v>
      </c>
      <c r="D767" s="9">
        <v>0</v>
      </c>
    </row>
    <row r="768" spans="1:4" x14ac:dyDescent="0.3">
      <c r="A768" s="9" t="s">
        <v>16</v>
      </c>
      <c r="B768" s="9" t="s">
        <v>38</v>
      </c>
      <c r="C768" s="9" t="s">
        <v>93</v>
      </c>
      <c r="D768" s="9">
        <v>0</v>
      </c>
    </row>
    <row r="769" spans="1:4" x14ac:dyDescent="0.3">
      <c r="A769" s="9" t="s">
        <v>16</v>
      </c>
      <c r="B769" s="9" t="s">
        <v>87</v>
      </c>
      <c r="C769" s="9" t="s">
        <v>94</v>
      </c>
      <c r="D769" s="9">
        <v>2</v>
      </c>
    </row>
    <row r="770" spans="1:4" x14ac:dyDescent="0.3">
      <c r="A770" s="9" t="s">
        <v>16</v>
      </c>
      <c r="B770" s="9" t="s">
        <v>86</v>
      </c>
      <c r="C770" s="9" t="s">
        <v>86</v>
      </c>
      <c r="D770" s="9">
        <v>1</v>
      </c>
    </row>
    <row r="771" spans="1:4" x14ac:dyDescent="0.3">
      <c r="A771" s="9" t="s">
        <v>16</v>
      </c>
      <c r="B771" s="9" t="s">
        <v>85</v>
      </c>
      <c r="C771" s="9" t="s">
        <v>85</v>
      </c>
      <c r="D771" s="9">
        <v>1</v>
      </c>
    </row>
    <row r="772" spans="1:4" x14ac:dyDescent="0.3">
      <c r="A772" s="9" t="s">
        <v>16</v>
      </c>
      <c r="B772" s="9" t="s">
        <v>84</v>
      </c>
      <c r="C772" s="9" t="s">
        <v>85</v>
      </c>
      <c r="D772" s="9">
        <v>0</v>
      </c>
    </row>
    <row r="773" spans="1:4" x14ac:dyDescent="0.3">
      <c r="A773" s="9" t="s">
        <v>16</v>
      </c>
      <c r="B773" s="9" t="s">
        <v>83</v>
      </c>
      <c r="C773" s="9" t="s">
        <v>95</v>
      </c>
      <c r="D773" s="9">
        <v>14</v>
      </c>
    </row>
    <row r="774" spans="1:4" x14ac:dyDescent="0.3">
      <c r="A774" s="9" t="s">
        <v>16</v>
      </c>
      <c r="B774" s="9" t="s">
        <v>39</v>
      </c>
      <c r="C774" s="9" t="s">
        <v>40</v>
      </c>
      <c r="D774" s="9">
        <v>54</v>
      </c>
    </row>
    <row r="775" spans="1:4" x14ac:dyDescent="0.3">
      <c r="A775" s="9" t="s">
        <v>16</v>
      </c>
      <c r="B775" s="9" t="s">
        <v>40</v>
      </c>
      <c r="C775" s="9" t="s">
        <v>40</v>
      </c>
      <c r="D775" s="9">
        <v>32</v>
      </c>
    </row>
    <row r="776" spans="1:4" x14ac:dyDescent="0.3">
      <c r="A776" s="9" t="s">
        <v>16</v>
      </c>
      <c r="B776" s="9" t="s">
        <v>41</v>
      </c>
      <c r="C776" s="9" t="s">
        <v>40</v>
      </c>
      <c r="D776" s="9">
        <v>0</v>
      </c>
    </row>
    <row r="777" spans="1:4" x14ac:dyDescent="0.3">
      <c r="A777" s="9" t="s">
        <v>16</v>
      </c>
      <c r="B777" s="9" t="s">
        <v>42</v>
      </c>
      <c r="C777" s="9" t="s">
        <v>40</v>
      </c>
      <c r="D777" s="9">
        <v>9</v>
      </c>
    </row>
    <row r="778" spans="1:4" x14ac:dyDescent="0.3">
      <c r="A778" s="9" t="s">
        <v>16</v>
      </c>
      <c r="B778" s="9" t="s">
        <v>43</v>
      </c>
      <c r="C778" s="9" t="s">
        <v>40</v>
      </c>
      <c r="D778" s="9">
        <v>6</v>
      </c>
    </row>
    <row r="779" spans="1:4" x14ac:dyDescent="0.3">
      <c r="A779" s="9" t="s">
        <v>16</v>
      </c>
      <c r="B779" s="9" t="s">
        <v>44</v>
      </c>
      <c r="C779" s="9" t="s">
        <v>40</v>
      </c>
      <c r="D779" s="9">
        <v>3</v>
      </c>
    </row>
    <row r="780" spans="1:4" x14ac:dyDescent="0.3">
      <c r="A780" s="9" t="s">
        <v>16</v>
      </c>
      <c r="B780" s="9" t="s">
        <v>45</v>
      </c>
      <c r="C780" s="9" t="s">
        <v>40</v>
      </c>
      <c r="D780" s="9">
        <v>3</v>
      </c>
    </row>
    <row r="781" spans="1:4" x14ac:dyDescent="0.3">
      <c r="A781" s="9" t="s">
        <v>16</v>
      </c>
      <c r="B781" s="9" t="s">
        <v>71</v>
      </c>
      <c r="C781" s="9" t="s">
        <v>40</v>
      </c>
      <c r="D781" s="9">
        <v>4</v>
      </c>
    </row>
    <row r="782" spans="1:4" x14ac:dyDescent="0.3">
      <c r="A782" s="9" t="s">
        <v>16</v>
      </c>
      <c r="B782" s="9" t="s">
        <v>72</v>
      </c>
      <c r="C782" s="9" t="s">
        <v>40</v>
      </c>
      <c r="D782" s="9">
        <v>0</v>
      </c>
    </row>
    <row r="783" spans="1:4" x14ac:dyDescent="0.3">
      <c r="A783" s="9" t="s">
        <v>16</v>
      </c>
      <c r="B783" s="9" t="s">
        <v>82</v>
      </c>
      <c r="C783" s="9" t="s">
        <v>40</v>
      </c>
      <c r="D783" s="9">
        <v>3</v>
      </c>
    </row>
    <row r="784" spans="1:4" x14ac:dyDescent="0.3">
      <c r="A784" s="9" t="s">
        <v>16</v>
      </c>
      <c r="B784" s="9" t="s">
        <v>81</v>
      </c>
      <c r="C784" s="9" t="s">
        <v>81</v>
      </c>
      <c r="D784" s="9">
        <v>0</v>
      </c>
    </row>
    <row r="785" spans="1:4" x14ac:dyDescent="0.3">
      <c r="A785" s="9" t="s">
        <v>16</v>
      </c>
      <c r="B785" s="9" t="s">
        <v>73</v>
      </c>
      <c r="C785" s="9" t="s">
        <v>81</v>
      </c>
      <c r="D785" s="9">
        <v>0</v>
      </c>
    </row>
    <row r="786" spans="1:4" x14ac:dyDescent="0.3">
      <c r="A786" s="9" t="s">
        <v>16</v>
      </c>
      <c r="B786" s="9" t="s">
        <v>80</v>
      </c>
      <c r="C786" s="9" t="s">
        <v>81</v>
      </c>
      <c r="D786" s="9">
        <v>0</v>
      </c>
    </row>
    <row r="787" spans="1:4" x14ac:dyDescent="0.3">
      <c r="A787" s="9" t="s">
        <v>16</v>
      </c>
      <c r="B787" s="9" t="s">
        <v>79</v>
      </c>
      <c r="C787" s="9" t="s">
        <v>96</v>
      </c>
      <c r="D787" s="9">
        <v>66</v>
      </c>
    </row>
    <row r="788" spans="1:4" x14ac:dyDescent="0.3">
      <c r="A788" s="9" t="s">
        <v>16</v>
      </c>
      <c r="B788" s="9" t="s">
        <v>46</v>
      </c>
      <c r="C788" s="9" t="s">
        <v>96</v>
      </c>
      <c r="D788" s="9">
        <v>66</v>
      </c>
    </row>
    <row r="789" spans="1:4" x14ac:dyDescent="0.3">
      <c r="A789" s="9" t="s">
        <v>16</v>
      </c>
      <c r="B789" s="9" t="s">
        <v>47</v>
      </c>
      <c r="C789" s="9" t="s">
        <v>96</v>
      </c>
      <c r="D789" s="9">
        <v>0</v>
      </c>
    </row>
    <row r="790" spans="1:4" x14ac:dyDescent="0.3">
      <c r="A790" s="9" t="s">
        <v>16</v>
      </c>
      <c r="B790" s="9" t="s">
        <v>48</v>
      </c>
      <c r="C790" s="9" t="s">
        <v>97</v>
      </c>
      <c r="D790" s="9">
        <v>12</v>
      </c>
    </row>
    <row r="791" spans="1:4" x14ac:dyDescent="0.3">
      <c r="A791" s="9" t="s">
        <v>16</v>
      </c>
      <c r="B791" s="9" t="s">
        <v>49</v>
      </c>
      <c r="C791" s="9" t="s">
        <v>97</v>
      </c>
      <c r="D791" s="9">
        <v>11</v>
      </c>
    </row>
    <row r="792" spans="1:4" x14ac:dyDescent="0.3">
      <c r="A792" s="9" t="s">
        <v>16</v>
      </c>
      <c r="B792" s="9" t="s">
        <v>50</v>
      </c>
      <c r="C792" s="9" t="s">
        <v>97</v>
      </c>
      <c r="D792" s="9">
        <v>1</v>
      </c>
    </row>
    <row r="793" spans="1:4" x14ac:dyDescent="0.3">
      <c r="A793" s="9" t="s">
        <v>16</v>
      </c>
      <c r="B793" s="9" t="s">
        <v>51</v>
      </c>
      <c r="C793" s="9" t="s">
        <v>99</v>
      </c>
      <c r="D793" s="9">
        <v>51</v>
      </c>
    </row>
    <row r="794" spans="1:4" x14ac:dyDescent="0.3">
      <c r="A794" s="9" t="s">
        <v>16</v>
      </c>
      <c r="B794" s="9" t="s">
        <v>52</v>
      </c>
      <c r="C794" s="9" t="s">
        <v>99</v>
      </c>
      <c r="D794" s="9">
        <v>49</v>
      </c>
    </row>
    <row r="795" spans="1:4" x14ac:dyDescent="0.3">
      <c r="A795" s="9" t="s">
        <v>16</v>
      </c>
      <c r="B795" s="9" t="s">
        <v>53</v>
      </c>
      <c r="C795" s="9" t="s">
        <v>99</v>
      </c>
      <c r="D795" s="9">
        <v>2</v>
      </c>
    </row>
    <row r="796" spans="1:4" x14ac:dyDescent="0.3">
      <c r="A796" s="9" t="s">
        <v>16</v>
      </c>
      <c r="B796" s="9" t="s">
        <v>54</v>
      </c>
      <c r="C796" s="9" t="s">
        <v>98</v>
      </c>
      <c r="D796" s="9">
        <v>17</v>
      </c>
    </row>
    <row r="797" spans="1:4" x14ac:dyDescent="0.3">
      <c r="A797" s="9" t="s">
        <v>16</v>
      </c>
      <c r="B797" s="9" t="s">
        <v>55</v>
      </c>
      <c r="C797" s="9" t="s">
        <v>98</v>
      </c>
      <c r="D797" s="9">
        <v>17</v>
      </c>
    </row>
    <row r="798" spans="1:4" x14ac:dyDescent="0.3">
      <c r="A798" s="9" t="s">
        <v>16</v>
      </c>
      <c r="B798" s="9" t="s">
        <v>56</v>
      </c>
      <c r="C798" s="9" t="s">
        <v>98</v>
      </c>
      <c r="D798" s="9">
        <v>0</v>
      </c>
    </row>
    <row r="799" spans="1:4" x14ac:dyDescent="0.3">
      <c r="A799" s="9" t="s">
        <v>16</v>
      </c>
      <c r="B799" s="9" t="s">
        <v>74</v>
      </c>
      <c r="C799" s="9" t="s">
        <v>74</v>
      </c>
      <c r="D799" s="9">
        <v>2</v>
      </c>
    </row>
    <row r="800" spans="1:4" x14ac:dyDescent="0.3">
      <c r="A800" s="9" t="s">
        <v>16</v>
      </c>
      <c r="B800" s="9" t="s">
        <v>57</v>
      </c>
      <c r="C800" s="9" t="s">
        <v>100</v>
      </c>
      <c r="D800" s="9">
        <v>1</v>
      </c>
    </row>
    <row r="801" spans="1:4" x14ac:dyDescent="0.3">
      <c r="A801" s="9" t="s">
        <v>16</v>
      </c>
      <c r="B801" s="9" t="s">
        <v>76</v>
      </c>
      <c r="C801" s="9" t="s">
        <v>100</v>
      </c>
      <c r="D801" s="9">
        <v>0</v>
      </c>
    </row>
    <row r="802" spans="1:4" x14ac:dyDescent="0.3">
      <c r="A802" s="9" t="s">
        <v>16</v>
      </c>
      <c r="B802" s="9" t="s">
        <v>58</v>
      </c>
      <c r="C802" s="9" t="s">
        <v>100</v>
      </c>
      <c r="D802" s="9">
        <v>0</v>
      </c>
    </row>
    <row r="803" spans="1:4" x14ac:dyDescent="0.3">
      <c r="A803" s="9" t="s">
        <v>16</v>
      </c>
      <c r="B803" s="9" t="s">
        <v>59</v>
      </c>
      <c r="C803" s="9" t="s">
        <v>100</v>
      </c>
      <c r="D803" s="9">
        <v>1</v>
      </c>
    </row>
    <row r="804" spans="1:4" x14ac:dyDescent="0.3">
      <c r="A804" s="9" t="s">
        <v>16</v>
      </c>
      <c r="B804" s="9" t="s">
        <v>60</v>
      </c>
      <c r="C804" s="9" t="s">
        <v>100</v>
      </c>
      <c r="D804" s="9">
        <v>0</v>
      </c>
    </row>
    <row r="805" spans="1:4" x14ac:dyDescent="0.3">
      <c r="A805" s="9" t="s">
        <v>16</v>
      </c>
      <c r="B805" s="9" t="s">
        <v>61</v>
      </c>
      <c r="C805" s="9" t="s">
        <v>100</v>
      </c>
      <c r="D805" s="9">
        <v>0</v>
      </c>
    </row>
    <row r="806" spans="1:4" x14ac:dyDescent="0.3">
      <c r="A806" s="9" t="s">
        <v>16</v>
      </c>
      <c r="B806" s="9" t="s">
        <v>78</v>
      </c>
      <c r="C806" s="9" t="s">
        <v>95</v>
      </c>
      <c r="D806" s="9">
        <v>0</v>
      </c>
    </row>
    <row r="807" spans="1:4" x14ac:dyDescent="0.3">
      <c r="A807" s="9" t="s">
        <v>16</v>
      </c>
      <c r="B807" s="9" t="s">
        <v>62</v>
      </c>
      <c r="C807" s="9" t="s">
        <v>101</v>
      </c>
      <c r="D807" s="9">
        <v>10</v>
      </c>
    </row>
    <row r="808" spans="1:4" x14ac:dyDescent="0.3">
      <c r="A808" s="9" t="s">
        <v>16</v>
      </c>
      <c r="B808" s="9" t="s">
        <v>63</v>
      </c>
      <c r="C808" s="9" t="s">
        <v>101</v>
      </c>
      <c r="D808" s="9">
        <v>9</v>
      </c>
    </row>
    <row r="809" spans="1:4" x14ac:dyDescent="0.3">
      <c r="A809" s="9" t="s">
        <v>16</v>
      </c>
      <c r="B809" s="9" t="s">
        <v>64</v>
      </c>
      <c r="C809" s="9" t="s">
        <v>101</v>
      </c>
      <c r="D809" s="9">
        <v>1</v>
      </c>
    </row>
    <row r="810" spans="1:4" x14ac:dyDescent="0.3">
      <c r="A810" s="9" t="s">
        <v>16</v>
      </c>
      <c r="B810" s="9" t="s">
        <v>77</v>
      </c>
      <c r="C810" s="9" t="s">
        <v>102</v>
      </c>
      <c r="D810" s="9">
        <v>397</v>
      </c>
    </row>
    <row r="811" spans="1:4" x14ac:dyDescent="0.3">
      <c r="A811" s="9" t="s">
        <v>16</v>
      </c>
      <c r="B811" s="9" t="s">
        <v>65</v>
      </c>
      <c r="C811" s="9" t="s">
        <v>102</v>
      </c>
      <c r="D811" s="9">
        <v>322</v>
      </c>
    </row>
    <row r="812" spans="1:4" x14ac:dyDescent="0.3">
      <c r="A812" s="9" t="s">
        <v>16</v>
      </c>
      <c r="B812" s="9" t="s">
        <v>66</v>
      </c>
      <c r="C812" s="9" t="s">
        <v>102</v>
      </c>
      <c r="D812" s="9">
        <v>53</v>
      </c>
    </row>
    <row r="813" spans="1:4" x14ac:dyDescent="0.3">
      <c r="A813" s="9" t="s">
        <v>16</v>
      </c>
      <c r="B813" s="9" t="s">
        <v>67</v>
      </c>
      <c r="C813" s="9" t="s">
        <v>102</v>
      </c>
      <c r="D813" s="9">
        <v>7</v>
      </c>
    </row>
    <row r="814" spans="1:4" x14ac:dyDescent="0.3">
      <c r="A814" s="9" t="s">
        <v>16</v>
      </c>
      <c r="B814" s="9" t="s">
        <v>68</v>
      </c>
      <c r="C814" s="9" t="s">
        <v>102</v>
      </c>
      <c r="D814" s="9">
        <v>8</v>
      </c>
    </row>
    <row r="815" spans="1:4" x14ac:dyDescent="0.3">
      <c r="A815" s="9" t="s">
        <v>16</v>
      </c>
      <c r="B815" s="9" t="s">
        <v>69</v>
      </c>
      <c r="C815" s="9" t="s">
        <v>102</v>
      </c>
      <c r="D815" s="9">
        <v>7</v>
      </c>
    </row>
    <row r="816" spans="1:4" x14ac:dyDescent="0.3">
      <c r="A816" s="9" t="s">
        <v>16</v>
      </c>
      <c r="B816" s="9" t="s">
        <v>70</v>
      </c>
      <c r="C816" s="9" t="s">
        <v>102</v>
      </c>
      <c r="D816" s="9">
        <v>0</v>
      </c>
    </row>
    <row r="817" spans="1:4" x14ac:dyDescent="0.3">
      <c r="A817" s="9" t="s">
        <v>16</v>
      </c>
      <c r="B817" s="9" t="s">
        <v>75</v>
      </c>
      <c r="C817" s="9" t="s">
        <v>103</v>
      </c>
      <c r="D817" s="9">
        <v>0</v>
      </c>
    </row>
    <row r="818" spans="1:4" x14ac:dyDescent="0.3">
      <c r="A818" s="9" t="s">
        <v>17</v>
      </c>
      <c r="B818" s="9" t="s">
        <v>88</v>
      </c>
      <c r="C818" s="9" t="s">
        <v>92</v>
      </c>
      <c r="D818" s="9">
        <v>0</v>
      </c>
    </row>
    <row r="819" spans="1:4" x14ac:dyDescent="0.3">
      <c r="A819" s="9" t="s">
        <v>17</v>
      </c>
      <c r="B819" s="9" t="s">
        <v>38</v>
      </c>
      <c r="C819" s="9" t="s">
        <v>93</v>
      </c>
      <c r="D819" s="9">
        <v>0</v>
      </c>
    </row>
    <row r="820" spans="1:4" x14ac:dyDescent="0.3">
      <c r="A820" s="9" t="s">
        <v>17</v>
      </c>
      <c r="B820" s="9" t="s">
        <v>87</v>
      </c>
      <c r="C820" s="9" t="s">
        <v>94</v>
      </c>
      <c r="D820" s="9">
        <v>0</v>
      </c>
    </row>
    <row r="821" spans="1:4" x14ac:dyDescent="0.3">
      <c r="A821" s="9" t="s">
        <v>17</v>
      </c>
      <c r="B821" s="9" t="s">
        <v>86</v>
      </c>
      <c r="C821" s="9" t="s">
        <v>86</v>
      </c>
      <c r="D821" s="9">
        <v>0</v>
      </c>
    </row>
    <row r="822" spans="1:4" x14ac:dyDescent="0.3">
      <c r="A822" s="9" t="s">
        <v>17</v>
      </c>
      <c r="B822" s="9" t="s">
        <v>85</v>
      </c>
      <c r="C822" s="9" t="s">
        <v>85</v>
      </c>
      <c r="D822" s="9">
        <v>0</v>
      </c>
    </row>
    <row r="823" spans="1:4" x14ac:dyDescent="0.3">
      <c r="A823" s="9" t="s">
        <v>17</v>
      </c>
      <c r="B823" s="9" t="s">
        <v>84</v>
      </c>
      <c r="C823" s="9" t="s">
        <v>85</v>
      </c>
      <c r="D823" s="9">
        <v>0</v>
      </c>
    </row>
    <row r="824" spans="1:4" x14ac:dyDescent="0.3">
      <c r="A824" s="9" t="s">
        <v>17</v>
      </c>
      <c r="B824" s="9" t="s">
        <v>83</v>
      </c>
      <c r="C824" s="9" t="s">
        <v>95</v>
      </c>
      <c r="D824" s="9">
        <v>5</v>
      </c>
    </row>
    <row r="825" spans="1:4" x14ac:dyDescent="0.3">
      <c r="A825" s="9" t="s">
        <v>17</v>
      </c>
      <c r="B825" s="9" t="s">
        <v>39</v>
      </c>
      <c r="C825" s="9" t="s">
        <v>40</v>
      </c>
      <c r="D825" s="9">
        <v>1</v>
      </c>
    </row>
    <row r="826" spans="1:4" x14ac:dyDescent="0.3">
      <c r="A826" s="9" t="s">
        <v>17</v>
      </c>
      <c r="B826" s="9" t="s">
        <v>40</v>
      </c>
      <c r="C826" s="9" t="s">
        <v>40</v>
      </c>
      <c r="D826" s="9">
        <v>0</v>
      </c>
    </row>
    <row r="827" spans="1:4" x14ac:dyDescent="0.3">
      <c r="A827" s="9" t="s">
        <v>17</v>
      </c>
      <c r="B827" s="9" t="s">
        <v>41</v>
      </c>
      <c r="C827" s="9" t="s">
        <v>40</v>
      </c>
      <c r="D827" s="9">
        <v>1</v>
      </c>
    </row>
    <row r="828" spans="1:4" x14ac:dyDescent="0.3">
      <c r="A828" s="9" t="s">
        <v>17</v>
      </c>
      <c r="B828" s="9" t="s">
        <v>42</v>
      </c>
      <c r="C828" s="9" t="s">
        <v>40</v>
      </c>
      <c r="D828" s="9">
        <v>0</v>
      </c>
    </row>
    <row r="829" spans="1:4" x14ac:dyDescent="0.3">
      <c r="A829" s="9" t="s">
        <v>17</v>
      </c>
      <c r="B829" s="9" t="s">
        <v>43</v>
      </c>
      <c r="C829" s="9" t="s">
        <v>40</v>
      </c>
      <c r="D829" s="9">
        <v>0</v>
      </c>
    </row>
    <row r="830" spans="1:4" x14ac:dyDescent="0.3">
      <c r="A830" s="9" t="s">
        <v>17</v>
      </c>
      <c r="B830" s="9" t="s">
        <v>44</v>
      </c>
      <c r="C830" s="9" t="s">
        <v>40</v>
      </c>
      <c r="D830" s="9">
        <v>0</v>
      </c>
    </row>
    <row r="831" spans="1:4" x14ac:dyDescent="0.3">
      <c r="A831" s="9" t="s">
        <v>17</v>
      </c>
      <c r="B831" s="9" t="s">
        <v>45</v>
      </c>
      <c r="C831" s="9" t="s">
        <v>40</v>
      </c>
      <c r="D831" s="9">
        <v>0</v>
      </c>
    </row>
    <row r="832" spans="1:4" x14ac:dyDescent="0.3">
      <c r="A832" s="9" t="s">
        <v>17</v>
      </c>
      <c r="B832" s="9" t="s">
        <v>71</v>
      </c>
      <c r="C832" s="9" t="s">
        <v>40</v>
      </c>
      <c r="D832" s="9">
        <v>0</v>
      </c>
    </row>
    <row r="833" spans="1:4" x14ac:dyDescent="0.3">
      <c r="A833" s="9" t="s">
        <v>17</v>
      </c>
      <c r="B833" s="9" t="s">
        <v>72</v>
      </c>
      <c r="C833" s="9" t="s">
        <v>40</v>
      </c>
      <c r="D833" s="9">
        <v>0</v>
      </c>
    </row>
    <row r="834" spans="1:4" x14ac:dyDescent="0.3">
      <c r="A834" s="9" t="s">
        <v>17</v>
      </c>
      <c r="B834" s="9" t="s">
        <v>82</v>
      </c>
      <c r="C834" s="9" t="s">
        <v>40</v>
      </c>
      <c r="D834" s="9">
        <v>0</v>
      </c>
    </row>
    <row r="835" spans="1:4" x14ac:dyDescent="0.3">
      <c r="A835" s="9" t="s">
        <v>17</v>
      </c>
      <c r="B835" s="9" t="s">
        <v>81</v>
      </c>
      <c r="C835" s="9" t="s">
        <v>81</v>
      </c>
      <c r="D835" s="9">
        <v>0</v>
      </c>
    </row>
    <row r="836" spans="1:4" x14ac:dyDescent="0.3">
      <c r="A836" s="9" t="s">
        <v>17</v>
      </c>
      <c r="B836" s="9" t="s">
        <v>73</v>
      </c>
      <c r="C836" s="9" t="s">
        <v>81</v>
      </c>
      <c r="D836" s="9">
        <v>0</v>
      </c>
    </row>
    <row r="837" spans="1:4" x14ac:dyDescent="0.3">
      <c r="A837" s="9" t="s">
        <v>17</v>
      </c>
      <c r="B837" s="9" t="s">
        <v>80</v>
      </c>
      <c r="C837" s="9" t="s">
        <v>81</v>
      </c>
      <c r="D837" s="9">
        <v>0</v>
      </c>
    </row>
    <row r="838" spans="1:4" x14ac:dyDescent="0.3">
      <c r="A838" s="9" t="s">
        <v>17</v>
      </c>
      <c r="B838" s="9" t="s">
        <v>79</v>
      </c>
      <c r="C838" s="9" t="s">
        <v>96</v>
      </c>
      <c r="D838" s="9">
        <v>36</v>
      </c>
    </row>
    <row r="839" spans="1:4" x14ac:dyDescent="0.3">
      <c r="A839" s="9" t="s">
        <v>17</v>
      </c>
      <c r="B839" s="9" t="s">
        <v>46</v>
      </c>
      <c r="C839" s="9" t="s">
        <v>96</v>
      </c>
      <c r="D839" s="9">
        <v>28</v>
      </c>
    </row>
    <row r="840" spans="1:4" x14ac:dyDescent="0.3">
      <c r="A840" s="9" t="s">
        <v>17</v>
      </c>
      <c r="B840" s="9" t="s">
        <v>47</v>
      </c>
      <c r="C840" s="9" t="s">
        <v>96</v>
      </c>
      <c r="D840" s="9">
        <v>8</v>
      </c>
    </row>
    <row r="841" spans="1:4" x14ac:dyDescent="0.3">
      <c r="A841" s="9" t="s">
        <v>17</v>
      </c>
      <c r="B841" s="9" t="s">
        <v>48</v>
      </c>
      <c r="C841" s="9" t="s">
        <v>97</v>
      </c>
      <c r="D841" s="9">
        <v>1</v>
      </c>
    </row>
    <row r="842" spans="1:4" x14ac:dyDescent="0.3">
      <c r="A842" s="9" t="s">
        <v>17</v>
      </c>
      <c r="B842" s="9" t="s">
        <v>49</v>
      </c>
      <c r="C842" s="9" t="s">
        <v>97</v>
      </c>
      <c r="D842" s="9">
        <v>1</v>
      </c>
    </row>
    <row r="843" spans="1:4" x14ac:dyDescent="0.3">
      <c r="A843" s="9" t="s">
        <v>17</v>
      </c>
      <c r="B843" s="9" t="s">
        <v>50</v>
      </c>
      <c r="C843" s="9" t="s">
        <v>97</v>
      </c>
      <c r="D843" s="9">
        <v>0</v>
      </c>
    </row>
    <row r="844" spans="1:4" x14ac:dyDescent="0.3">
      <c r="A844" s="9" t="s">
        <v>17</v>
      </c>
      <c r="B844" s="9" t="s">
        <v>51</v>
      </c>
      <c r="C844" s="9" t="s">
        <v>99</v>
      </c>
      <c r="D844" s="9">
        <v>28</v>
      </c>
    </row>
    <row r="845" spans="1:4" x14ac:dyDescent="0.3">
      <c r="A845" s="9" t="s">
        <v>17</v>
      </c>
      <c r="B845" s="9" t="s">
        <v>52</v>
      </c>
      <c r="C845" s="9" t="s">
        <v>99</v>
      </c>
      <c r="D845" s="9">
        <v>26</v>
      </c>
    </row>
    <row r="846" spans="1:4" x14ac:dyDescent="0.3">
      <c r="A846" s="9" t="s">
        <v>17</v>
      </c>
      <c r="B846" s="9" t="s">
        <v>53</v>
      </c>
      <c r="C846" s="9" t="s">
        <v>99</v>
      </c>
      <c r="D846" s="9">
        <v>2</v>
      </c>
    </row>
    <row r="847" spans="1:4" x14ac:dyDescent="0.3">
      <c r="A847" s="9" t="s">
        <v>17</v>
      </c>
      <c r="B847" s="9" t="s">
        <v>54</v>
      </c>
      <c r="C847" s="9" t="s">
        <v>98</v>
      </c>
      <c r="D847" s="9">
        <v>0</v>
      </c>
    </row>
    <row r="848" spans="1:4" x14ac:dyDescent="0.3">
      <c r="A848" s="9" t="s">
        <v>17</v>
      </c>
      <c r="B848" s="9" t="s">
        <v>55</v>
      </c>
      <c r="C848" s="9" t="s">
        <v>98</v>
      </c>
      <c r="D848" s="9">
        <v>0</v>
      </c>
    </row>
    <row r="849" spans="1:4" x14ac:dyDescent="0.3">
      <c r="A849" s="9" t="s">
        <v>17</v>
      </c>
      <c r="B849" s="9" t="s">
        <v>56</v>
      </c>
      <c r="C849" s="9" t="s">
        <v>98</v>
      </c>
      <c r="D849" s="9">
        <v>0</v>
      </c>
    </row>
    <row r="850" spans="1:4" x14ac:dyDescent="0.3">
      <c r="A850" s="9" t="s">
        <v>17</v>
      </c>
      <c r="B850" s="9" t="s">
        <v>74</v>
      </c>
      <c r="C850" s="9" t="s">
        <v>74</v>
      </c>
      <c r="D850" s="9">
        <v>0</v>
      </c>
    </row>
    <row r="851" spans="1:4" x14ac:dyDescent="0.3">
      <c r="A851" s="9" t="s">
        <v>17</v>
      </c>
      <c r="B851" s="9" t="s">
        <v>57</v>
      </c>
      <c r="C851" s="9" t="s">
        <v>100</v>
      </c>
      <c r="D851" s="9">
        <v>0</v>
      </c>
    </row>
    <row r="852" spans="1:4" x14ac:dyDescent="0.3">
      <c r="A852" s="9" t="s">
        <v>17</v>
      </c>
      <c r="B852" s="9" t="s">
        <v>76</v>
      </c>
      <c r="C852" s="9" t="s">
        <v>100</v>
      </c>
      <c r="D852" s="9">
        <v>0</v>
      </c>
    </row>
    <row r="853" spans="1:4" x14ac:dyDescent="0.3">
      <c r="A853" s="9" t="s">
        <v>17</v>
      </c>
      <c r="B853" s="9" t="s">
        <v>58</v>
      </c>
      <c r="C853" s="9" t="s">
        <v>100</v>
      </c>
      <c r="D853" s="9">
        <v>0</v>
      </c>
    </row>
    <row r="854" spans="1:4" x14ac:dyDescent="0.3">
      <c r="A854" s="9" t="s">
        <v>17</v>
      </c>
      <c r="B854" s="9" t="s">
        <v>59</v>
      </c>
      <c r="C854" s="9" t="s">
        <v>100</v>
      </c>
      <c r="D854" s="9">
        <v>0</v>
      </c>
    </row>
    <row r="855" spans="1:4" x14ac:dyDescent="0.3">
      <c r="A855" s="9" t="s">
        <v>17</v>
      </c>
      <c r="B855" s="9" t="s">
        <v>60</v>
      </c>
      <c r="C855" s="9" t="s">
        <v>100</v>
      </c>
      <c r="D855" s="9">
        <v>0</v>
      </c>
    </row>
    <row r="856" spans="1:4" x14ac:dyDescent="0.3">
      <c r="A856" s="9" t="s">
        <v>17</v>
      </c>
      <c r="B856" s="9" t="s">
        <v>61</v>
      </c>
      <c r="C856" s="9" t="s">
        <v>100</v>
      </c>
      <c r="D856" s="9">
        <v>0</v>
      </c>
    </row>
    <row r="857" spans="1:4" x14ac:dyDescent="0.3">
      <c r="A857" s="9" t="s">
        <v>17</v>
      </c>
      <c r="B857" s="9" t="s">
        <v>78</v>
      </c>
      <c r="C857" s="9" t="s">
        <v>95</v>
      </c>
      <c r="D857" s="9">
        <v>0</v>
      </c>
    </row>
    <row r="858" spans="1:4" x14ac:dyDescent="0.3">
      <c r="A858" s="9" t="s">
        <v>17</v>
      </c>
      <c r="B858" s="9" t="s">
        <v>62</v>
      </c>
      <c r="C858" s="9" t="s">
        <v>101</v>
      </c>
      <c r="D858" s="9">
        <v>0</v>
      </c>
    </row>
    <row r="859" spans="1:4" x14ac:dyDescent="0.3">
      <c r="A859" s="9" t="s">
        <v>17</v>
      </c>
      <c r="B859" s="9" t="s">
        <v>63</v>
      </c>
      <c r="C859" s="9" t="s">
        <v>101</v>
      </c>
      <c r="D859" s="9">
        <v>0</v>
      </c>
    </row>
    <row r="860" spans="1:4" x14ac:dyDescent="0.3">
      <c r="A860" s="9" t="s">
        <v>17</v>
      </c>
      <c r="B860" s="9" t="s">
        <v>64</v>
      </c>
      <c r="C860" s="9" t="s">
        <v>101</v>
      </c>
      <c r="D860" s="9">
        <v>0</v>
      </c>
    </row>
    <row r="861" spans="1:4" x14ac:dyDescent="0.3">
      <c r="A861" s="9" t="s">
        <v>17</v>
      </c>
      <c r="B861" s="9" t="s">
        <v>77</v>
      </c>
      <c r="C861" s="9" t="s">
        <v>102</v>
      </c>
      <c r="D861" s="9">
        <v>113</v>
      </c>
    </row>
    <row r="862" spans="1:4" x14ac:dyDescent="0.3">
      <c r="A862" s="9" t="s">
        <v>17</v>
      </c>
      <c r="B862" s="9" t="s">
        <v>65</v>
      </c>
      <c r="C862" s="9" t="s">
        <v>102</v>
      </c>
      <c r="D862" s="9">
        <v>72</v>
      </c>
    </row>
    <row r="863" spans="1:4" x14ac:dyDescent="0.3">
      <c r="A863" s="9" t="s">
        <v>17</v>
      </c>
      <c r="B863" s="9" t="s">
        <v>66</v>
      </c>
      <c r="C863" s="9" t="s">
        <v>102</v>
      </c>
      <c r="D863" s="9">
        <v>38</v>
      </c>
    </row>
    <row r="864" spans="1:4" x14ac:dyDescent="0.3">
      <c r="A864" s="9" t="s">
        <v>17</v>
      </c>
      <c r="B864" s="9" t="s">
        <v>67</v>
      </c>
      <c r="C864" s="9" t="s">
        <v>102</v>
      </c>
      <c r="D864" s="9">
        <v>0</v>
      </c>
    </row>
    <row r="865" spans="1:4" x14ac:dyDescent="0.3">
      <c r="A865" s="9" t="s">
        <v>17</v>
      </c>
      <c r="B865" s="9" t="s">
        <v>68</v>
      </c>
      <c r="C865" s="9" t="s">
        <v>102</v>
      </c>
      <c r="D865" s="9">
        <v>3</v>
      </c>
    </row>
    <row r="866" spans="1:4" x14ac:dyDescent="0.3">
      <c r="A866" s="9" t="s">
        <v>17</v>
      </c>
      <c r="B866" s="9" t="s">
        <v>69</v>
      </c>
      <c r="C866" s="9" t="s">
        <v>102</v>
      </c>
      <c r="D866" s="9">
        <v>0</v>
      </c>
    </row>
    <row r="867" spans="1:4" x14ac:dyDescent="0.3">
      <c r="A867" s="9" t="s">
        <v>17</v>
      </c>
      <c r="B867" s="9" t="s">
        <v>70</v>
      </c>
      <c r="C867" s="9" t="s">
        <v>102</v>
      </c>
      <c r="D867" s="9">
        <v>0</v>
      </c>
    </row>
    <row r="868" spans="1:4" x14ac:dyDescent="0.3">
      <c r="A868" s="9" t="s">
        <v>17</v>
      </c>
      <c r="B868" s="9" t="s">
        <v>75</v>
      </c>
      <c r="C868" s="9" t="s">
        <v>103</v>
      </c>
      <c r="D868" s="9">
        <v>0</v>
      </c>
    </row>
    <row r="869" spans="1:4" x14ac:dyDescent="0.3">
      <c r="A869" s="9" t="s">
        <v>18</v>
      </c>
      <c r="B869" s="9" t="s">
        <v>88</v>
      </c>
      <c r="C869" s="9" t="s">
        <v>92</v>
      </c>
      <c r="D869" s="9">
        <v>0</v>
      </c>
    </row>
    <row r="870" spans="1:4" x14ac:dyDescent="0.3">
      <c r="A870" s="9" t="s">
        <v>18</v>
      </c>
      <c r="B870" s="9" t="s">
        <v>38</v>
      </c>
      <c r="C870" s="9" t="s">
        <v>93</v>
      </c>
      <c r="D870" s="9">
        <v>0</v>
      </c>
    </row>
    <row r="871" spans="1:4" x14ac:dyDescent="0.3">
      <c r="A871" s="9" t="s">
        <v>18</v>
      </c>
      <c r="B871" s="9" t="s">
        <v>87</v>
      </c>
      <c r="C871" s="9" t="s">
        <v>94</v>
      </c>
      <c r="D871" s="9">
        <v>0</v>
      </c>
    </row>
    <row r="872" spans="1:4" x14ac:dyDescent="0.3">
      <c r="A872" s="9" t="s">
        <v>18</v>
      </c>
      <c r="B872" s="9" t="s">
        <v>86</v>
      </c>
      <c r="C872" s="9" t="s">
        <v>86</v>
      </c>
      <c r="D872" s="9">
        <v>0</v>
      </c>
    </row>
    <row r="873" spans="1:4" x14ac:dyDescent="0.3">
      <c r="A873" s="9" t="s">
        <v>18</v>
      </c>
      <c r="B873" s="9" t="s">
        <v>85</v>
      </c>
      <c r="C873" s="9" t="s">
        <v>85</v>
      </c>
      <c r="D873" s="9">
        <v>0</v>
      </c>
    </row>
    <row r="874" spans="1:4" x14ac:dyDescent="0.3">
      <c r="A874" s="9" t="s">
        <v>18</v>
      </c>
      <c r="B874" s="9" t="s">
        <v>84</v>
      </c>
      <c r="C874" s="9" t="s">
        <v>85</v>
      </c>
      <c r="D874" s="9">
        <v>0</v>
      </c>
    </row>
    <row r="875" spans="1:4" x14ac:dyDescent="0.3">
      <c r="A875" s="9" t="s">
        <v>18</v>
      </c>
      <c r="B875" s="9" t="s">
        <v>83</v>
      </c>
      <c r="C875" s="9" t="s">
        <v>95</v>
      </c>
      <c r="D875" s="9">
        <v>2</v>
      </c>
    </row>
    <row r="876" spans="1:4" x14ac:dyDescent="0.3">
      <c r="A876" s="9" t="s">
        <v>18</v>
      </c>
      <c r="B876" s="9" t="s">
        <v>39</v>
      </c>
      <c r="C876" s="9" t="s">
        <v>40</v>
      </c>
      <c r="D876" s="9">
        <v>7</v>
      </c>
    </row>
    <row r="877" spans="1:4" x14ac:dyDescent="0.3">
      <c r="A877" s="9" t="s">
        <v>18</v>
      </c>
      <c r="B877" s="9" t="s">
        <v>40</v>
      </c>
      <c r="C877" s="9" t="s">
        <v>40</v>
      </c>
      <c r="D877" s="9">
        <v>4</v>
      </c>
    </row>
    <row r="878" spans="1:4" x14ac:dyDescent="0.3">
      <c r="A878" s="9" t="s">
        <v>18</v>
      </c>
      <c r="B878" s="9" t="s">
        <v>41</v>
      </c>
      <c r="C878" s="9" t="s">
        <v>40</v>
      </c>
      <c r="D878" s="9">
        <v>0</v>
      </c>
    </row>
    <row r="879" spans="1:4" x14ac:dyDescent="0.3">
      <c r="A879" s="9" t="s">
        <v>18</v>
      </c>
      <c r="B879" s="9" t="s">
        <v>42</v>
      </c>
      <c r="C879" s="9" t="s">
        <v>40</v>
      </c>
      <c r="D879" s="9">
        <v>1</v>
      </c>
    </row>
    <row r="880" spans="1:4" x14ac:dyDescent="0.3">
      <c r="A880" s="9" t="s">
        <v>18</v>
      </c>
      <c r="B880" s="9" t="s">
        <v>43</v>
      </c>
      <c r="C880" s="9" t="s">
        <v>40</v>
      </c>
      <c r="D880" s="9">
        <v>0</v>
      </c>
    </row>
    <row r="881" spans="1:4" x14ac:dyDescent="0.3">
      <c r="A881" s="9" t="s">
        <v>18</v>
      </c>
      <c r="B881" s="9" t="s">
        <v>44</v>
      </c>
      <c r="C881" s="9" t="s">
        <v>40</v>
      </c>
      <c r="D881" s="9">
        <v>0</v>
      </c>
    </row>
    <row r="882" spans="1:4" x14ac:dyDescent="0.3">
      <c r="A882" s="9" t="s">
        <v>18</v>
      </c>
      <c r="B882" s="9" t="s">
        <v>45</v>
      </c>
      <c r="C882" s="9" t="s">
        <v>40</v>
      </c>
      <c r="D882" s="9">
        <v>0</v>
      </c>
    </row>
    <row r="883" spans="1:4" x14ac:dyDescent="0.3">
      <c r="A883" s="9" t="s">
        <v>18</v>
      </c>
      <c r="B883" s="9" t="s">
        <v>71</v>
      </c>
      <c r="C883" s="9" t="s">
        <v>40</v>
      </c>
      <c r="D883" s="9">
        <v>0</v>
      </c>
    </row>
    <row r="884" spans="1:4" x14ac:dyDescent="0.3">
      <c r="A884" s="9" t="s">
        <v>18</v>
      </c>
      <c r="B884" s="9" t="s">
        <v>72</v>
      </c>
      <c r="C884" s="9" t="s">
        <v>40</v>
      </c>
      <c r="D884" s="9">
        <v>0</v>
      </c>
    </row>
    <row r="885" spans="1:4" x14ac:dyDescent="0.3">
      <c r="A885" s="9" t="s">
        <v>18</v>
      </c>
      <c r="B885" s="9" t="s">
        <v>82</v>
      </c>
      <c r="C885" s="9" t="s">
        <v>40</v>
      </c>
      <c r="D885" s="9">
        <v>2</v>
      </c>
    </row>
    <row r="886" spans="1:4" x14ac:dyDescent="0.3">
      <c r="A886" s="9" t="s">
        <v>18</v>
      </c>
      <c r="B886" s="9" t="s">
        <v>81</v>
      </c>
      <c r="C886" s="9" t="s">
        <v>81</v>
      </c>
      <c r="D886" s="9">
        <v>0</v>
      </c>
    </row>
    <row r="887" spans="1:4" x14ac:dyDescent="0.3">
      <c r="A887" s="9" t="s">
        <v>18</v>
      </c>
      <c r="B887" s="9" t="s">
        <v>73</v>
      </c>
      <c r="C887" s="9" t="s">
        <v>81</v>
      </c>
      <c r="D887" s="9">
        <v>0</v>
      </c>
    </row>
    <row r="888" spans="1:4" x14ac:dyDescent="0.3">
      <c r="A888" s="9" t="s">
        <v>18</v>
      </c>
      <c r="B888" s="9" t="s">
        <v>80</v>
      </c>
      <c r="C888" s="9" t="s">
        <v>81</v>
      </c>
      <c r="D888" s="9">
        <v>0</v>
      </c>
    </row>
    <row r="889" spans="1:4" x14ac:dyDescent="0.3">
      <c r="A889" s="9" t="s">
        <v>18</v>
      </c>
      <c r="B889" s="9" t="s">
        <v>79</v>
      </c>
      <c r="C889" s="9" t="s">
        <v>96</v>
      </c>
      <c r="D889" s="9">
        <v>10</v>
      </c>
    </row>
    <row r="890" spans="1:4" x14ac:dyDescent="0.3">
      <c r="A890" s="9" t="s">
        <v>18</v>
      </c>
      <c r="B890" s="9" t="s">
        <v>46</v>
      </c>
      <c r="C890" s="9" t="s">
        <v>96</v>
      </c>
      <c r="D890" s="9">
        <v>7</v>
      </c>
    </row>
    <row r="891" spans="1:4" x14ac:dyDescent="0.3">
      <c r="A891" s="9" t="s">
        <v>18</v>
      </c>
      <c r="B891" s="9" t="s">
        <v>47</v>
      </c>
      <c r="C891" s="9" t="s">
        <v>96</v>
      </c>
      <c r="D891" s="9">
        <v>3</v>
      </c>
    </row>
    <row r="892" spans="1:4" x14ac:dyDescent="0.3">
      <c r="A892" s="9" t="s">
        <v>18</v>
      </c>
      <c r="B892" s="9" t="s">
        <v>48</v>
      </c>
      <c r="C892" s="9" t="s">
        <v>97</v>
      </c>
      <c r="D892" s="9">
        <v>3</v>
      </c>
    </row>
    <row r="893" spans="1:4" x14ac:dyDescent="0.3">
      <c r="A893" s="9" t="s">
        <v>18</v>
      </c>
      <c r="B893" s="9" t="s">
        <v>49</v>
      </c>
      <c r="C893" s="9" t="s">
        <v>97</v>
      </c>
      <c r="D893" s="9">
        <v>2</v>
      </c>
    </row>
    <row r="894" spans="1:4" x14ac:dyDescent="0.3">
      <c r="A894" s="9" t="s">
        <v>18</v>
      </c>
      <c r="B894" s="9" t="s">
        <v>50</v>
      </c>
      <c r="C894" s="9" t="s">
        <v>97</v>
      </c>
      <c r="D894" s="9">
        <v>1</v>
      </c>
    </row>
    <row r="895" spans="1:4" x14ac:dyDescent="0.3">
      <c r="A895" s="9" t="s">
        <v>18</v>
      </c>
      <c r="B895" s="9" t="s">
        <v>51</v>
      </c>
      <c r="C895" s="9" t="s">
        <v>99</v>
      </c>
      <c r="D895" s="9">
        <v>14</v>
      </c>
    </row>
    <row r="896" spans="1:4" x14ac:dyDescent="0.3">
      <c r="A896" s="9" t="s">
        <v>18</v>
      </c>
      <c r="B896" s="9" t="s">
        <v>52</v>
      </c>
      <c r="C896" s="9" t="s">
        <v>99</v>
      </c>
      <c r="D896" s="9">
        <v>12</v>
      </c>
    </row>
    <row r="897" spans="1:4" x14ac:dyDescent="0.3">
      <c r="A897" s="9" t="s">
        <v>18</v>
      </c>
      <c r="B897" s="9" t="s">
        <v>53</v>
      </c>
      <c r="C897" s="9" t="s">
        <v>99</v>
      </c>
      <c r="D897" s="9">
        <v>2</v>
      </c>
    </row>
    <row r="898" spans="1:4" x14ac:dyDescent="0.3">
      <c r="A898" s="9" t="s">
        <v>18</v>
      </c>
      <c r="B898" s="9" t="s">
        <v>54</v>
      </c>
      <c r="C898" s="9" t="s">
        <v>98</v>
      </c>
      <c r="D898" s="9">
        <v>1</v>
      </c>
    </row>
    <row r="899" spans="1:4" x14ac:dyDescent="0.3">
      <c r="A899" s="9" t="s">
        <v>18</v>
      </c>
      <c r="B899" s="9" t="s">
        <v>55</v>
      </c>
      <c r="C899" s="9" t="s">
        <v>98</v>
      </c>
      <c r="D899" s="9">
        <v>1</v>
      </c>
    </row>
    <row r="900" spans="1:4" x14ac:dyDescent="0.3">
      <c r="A900" s="9" t="s">
        <v>18</v>
      </c>
      <c r="B900" s="9" t="s">
        <v>56</v>
      </c>
      <c r="C900" s="9" t="s">
        <v>98</v>
      </c>
      <c r="D900" s="9">
        <v>0</v>
      </c>
    </row>
    <row r="901" spans="1:4" x14ac:dyDescent="0.3">
      <c r="A901" s="9" t="s">
        <v>18</v>
      </c>
      <c r="B901" s="9" t="s">
        <v>74</v>
      </c>
      <c r="C901" s="9" t="s">
        <v>74</v>
      </c>
      <c r="D901" s="9">
        <v>0</v>
      </c>
    </row>
    <row r="902" spans="1:4" x14ac:dyDescent="0.3">
      <c r="A902" s="9" t="s">
        <v>18</v>
      </c>
      <c r="B902" s="9" t="s">
        <v>57</v>
      </c>
      <c r="C902" s="9" t="s">
        <v>100</v>
      </c>
      <c r="D902" s="9">
        <v>1</v>
      </c>
    </row>
    <row r="903" spans="1:4" x14ac:dyDescent="0.3">
      <c r="A903" s="9" t="s">
        <v>18</v>
      </c>
      <c r="B903" s="9" t="s">
        <v>76</v>
      </c>
      <c r="C903" s="9" t="s">
        <v>100</v>
      </c>
      <c r="D903" s="9">
        <v>0</v>
      </c>
    </row>
    <row r="904" spans="1:4" x14ac:dyDescent="0.3">
      <c r="A904" s="9" t="s">
        <v>18</v>
      </c>
      <c r="B904" s="9" t="s">
        <v>58</v>
      </c>
      <c r="C904" s="9" t="s">
        <v>100</v>
      </c>
      <c r="D904" s="9">
        <v>0</v>
      </c>
    </row>
    <row r="905" spans="1:4" x14ac:dyDescent="0.3">
      <c r="A905" s="9" t="s">
        <v>18</v>
      </c>
      <c r="B905" s="9" t="s">
        <v>59</v>
      </c>
      <c r="C905" s="9" t="s">
        <v>100</v>
      </c>
      <c r="D905" s="9">
        <v>0</v>
      </c>
    </row>
    <row r="906" spans="1:4" x14ac:dyDescent="0.3">
      <c r="A906" s="9" t="s">
        <v>18</v>
      </c>
      <c r="B906" s="9" t="s">
        <v>60</v>
      </c>
      <c r="C906" s="9" t="s">
        <v>100</v>
      </c>
      <c r="D906" s="9">
        <v>0</v>
      </c>
    </row>
    <row r="907" spans="1:4" x14ac:dyDescent="0.3">
      <c r="A907" s="9" t="s">
        <v>18</v>
      </c>
      <c r="B907" s="9" t="s">
        <v>61</v>
      </c>
      <c r="C907" s="9" t="s">
        <v>100</v>
      </c>
      <c r="D907" s="9">
        <v>1</v>
      </c>
    </row>
    <row r="908" spans="1:4" x14ac:dyDescent="0.3">
      <c r="A908" s="9" t="s">
        <v>18</v>
      </c>
      <c r="B908" s="9" t="s">
        <v>78</v>
      </c>
      <c r="C908" s="9" t="s">
        <v>95</v>
      </c>
      <c r="D908" s="9">
        <v>2</v>
      </c>
    </row>
    <row r="909" spans="1:4" x14ac:dyDescent="0.3">
      <c r="A909" s="9" t="s">
        <v>18</v>
      </c>
      <c r="B909" s="9" t="s">
        <v>62</v>
      </c>
      <c r="C909" s="9" t="s">
        <v>101</v>
      </c>
      <c r="D909" s="9">
        <v>1</v>
      </c>
    </row>
    <row r="910" spans="1:4" x14ac:dyDescent="0.3">
      <c r="A910" s="9" t="s">
        <v>18</v>
      </c>
      <c r="B910" s="9" t="s">
        <v>63</v>
      </c>
      <c r="C910" s="9" t="s">
        <v>101</v>
      </c>
      <c r="D910" s="9">
        <v>1</v>
      </c>
    </row>
    <row r="911" spans="1:4" x14ac:dyDescent="0.3">
      <c r="A911" s="9" t="s">
        <v>18</v>
      </c>
      <c r="B911" s="9" t="s">
        <v>64</v>
      </c>
      <c r="C911" s="9" t="s">
        <v>101</v>
      </c>
      <c r="D911" s="9">
        <v>0</v>
      </c>
    </row>
    <row r="912" spans="1:4" x14ac:dyDescent="0.3">
      <c r="A912" s="9" t="s">
        <v>18</v>
      </c>
      <c r="B912" s="9" t="s">
        <v>77</v>
      </c>
      <c r="C912" s="9" t="s">
        <v>102</v>
      </c>
      <c r="D912" s="9">
        <v>15</v>
      </c>
    </row>
    <row r="913" spans="1:4" x14ac:dyDescent="0.3">
      <c r="A913" s="9" t="s">
        <v>18</v>
      </c>
      <c r="B913" s="9" t="s">
        <v>65</v>
      </c>
      <c r="C913" s="9" t="s">
        <v>102</v>
      </c>
      <c r="D913" s="9">
        <v>6</v>
      </c>
    </row>
    <row r="914" spans="1:4" x14ac:dyDescent="0.3">
      <c r="A914" s="9" t="s">
        <v>18</v>
      </c>
      <c r="B914" s="9" t="s">
        <v>66</v>
      </c>
      <c r="C914" s="9" t="s">
        <v>102</v>
      </c>
      <c r="D914" s="9">
        <v>9</v>
      </c>
    </row>
    <row r="915" spans="1:4" x14ac:dyDescent="0.3">
      <c r="A915" s="9" t="s">
        <v>18</v>
      </c>
      <c r="B915" s="9" t="s">
        <v>67</v>
      </c>
      <c r="C915" s="9" t="s">
        <v>102</v>
      </c>
      <c r="D915" s="9">
        <v>0</v>
      </c>
    </row>
    <row r="916" spans="1:4" x14ac:dyDescent="0.3">
      <c r="A916" s="9" t="s">
        <v>18</v>
      </c>
      <c r="B916" s="9" t="s">
        <v>68</v>
      </c>
      <c r="C916" s="9" t="s">
        <v>102</v>
      </c>
      <c r="D916" s="9">
        <v>0</v>
      </c>
    </row>
    <row r="917" spans="1:4" x14ac:dyDescent="0.3">
      <c r="A917" s="9" t="s">
        <v>18</v>
      </c>
      <c r="B917" s="9" t="s">
        <v>69</v>
      </c>
      <c r="C917" s="9" t="s">
        <v>102</v>
      </c>
      <c r="D917" s="9">
        <v>0</v>
      </c>
    </row>
    <row r="918" spans="1:4" x14ac:dyDescent="0.3">
      <c r="A918" s="9" t="s">
        <v>18</v>
      </c>
      <c r="B918" s="9" t="s">
        <v>70</v>
      </c>
      <c r="C918" s="9" t="s">
        <v>102</v>
      </c>
      <c r="D918" s="9">
        <v>0</v>
      </c>
    </row>
    <row r="919" spans="1:4" x14ac:dyDescent="0.3">
      <c r="A919" s="9" t="s">
        <v>18</v>
      </c>
      <c r="B919" s="9" t="s">
        <v>75</v>
      </c>
      <c r="C919" s="9" t="s">
        <v>103</v>
      </c>
      <c r="D919" s="9">
        <v>0</v>
      </c>
    </row>
    <row r="920" spans="1:4" x14ac:dyDescent="0.3">
      <c r="A920" s="9" t="s">
        <v>19</v>
      </c>
      <c r="B920" s="9" t="s">
        <v>88</v>
      </c>
      <c r="C920" s="9" t="s">
        <v>92</v>
      </c>
      <c r="D920" s="9">
        <v>15</v>
      </c>
    </row>
    <row r="921" spans="1:4" x14ac:dyDescent="0.3">
      <c r="A921" s="9" t="s">
        <v>19</v>
      </c>
      <c r="B921" s="9" t="s">
        <v>38</v>
      </c>
      <c r="C921" s="9" t="s">
        <v>93</v>
      </c>
      <c r="D921" s="9">
        <v>231</v>
      </c>
    </row>
    <row r="922" spans="1:4" x14ac:dyDescent="0.3">
      <c r="A922" s="9" t="s">
        <v>19</v>
      </c>
      <c r="B922" s="9" t="s">
        <v>87</v>
      </c>
      <c r="C922" s="9" t="s">
        <v>94</v>
      </c>
      <c r="D922" s="9">
        <v>0</v>
      </c>
    </row>
    <row r="923" spans="1:4" x14ac:dyDescent="0.3">
      <c r="A923" s="9" t="s">
        <v>19</v>
      </c>
      <c r="B923" s="9" t="s">
        <v>86</v>
      </c>
      <c r="C923" s="9" t="s">
        <v>86</v>
      </c>
      <c r="D923" s="9">
        <v>0</v>
      </c>
    </row>
    <row r="924" spans="1:4" x14ac:dyDescent="0.3">
      <c r="A924" s="9" t="s">
        <v>19</v>
      </c>
      <c r="B924" s="9" t="s">
        <v>85</v>
      </c>
      <c r="C924" s="9" t="s">
        <v>85</v>
      </c>
      <c r="D924" s="9">
        <v>5</v>
      </c>
    </row>
    <row r="925" spans="1:4" x14ac:dyDescent="0.3">
      <c r="A925" s="9" t="s">
        <v>19</v>
      </c>
      <c r="B925" s="9" t="s">
        <v>84</v>
      </c>
      <c r="C925" s="9" t="s">
        <v>85</v>
      </c>
      <c r="D925" s="9">
        <v>2</v>
      </c>
    </row>
    <row r="926" spans="1:4" x14ac:dyDescent="0.3">
      <c r="A926" s="9" t="s">
        <v>19</v>
      </c>
      <c r="B926" s="9" t="s">
        <v>83</v>
      </c>
      <c r="C926" s="9" t="s">
        <v>95</v>
      </c>
      <c r="D926" s="9">
        <v>5534</v>
      </c>
    </row>
    <row r="927" spans="1:4" x14ac:dyDescent="0.3">
      <c r="A927" s="9" t="s">
        <v>19</v>
      </c>
      <c r="B927" s="9" t="s">
        <v>39</v>
      </c>
      <c r="C927" s="9" t="s">
        <v>40</v>
      </c>
      <c r="D927" s="9">
        <v>5611</v>
      </c>
    </row>
    <row r="928" spans="1:4" x14ac:dyDescent="0.3">
      <c r="A928" s="9" t="s">
        <v>19</v>
      </c>
      <c r="B928" s="9" t="s">
        <v>40</v>
      </c>
      <c r="C928" s="9" t="s">
        <v>40</v>
      </c>
      <c r="D928" s="9">
        <v>5400</v>
      </c>
    </row>
    <row r="929" spans="1:4" x14ac:dyDescent="0.3">
      <c r="A929" s="9" t="s">
        <v>19</v>
      </c>
      <c r="B929" s="9" t="s">
        <v>41</v>
      </c>
      <c r="C929" s="9" t="s">
        <v>40</v>
      </c>
      <c r="D929" s="9">
        <v>1</v>
      </c>
    </row>
    <row r="930" spans="1:4" x14ac:dyDescent="0.3">
      <c r="A930" s="9" t="s">
        <v>19</v>
      </c>
      <c r="B930" s="9" t="s">
        <v>42</v>
      </c>
      <c r="C930" s="9" t="s">
        <v>40</v>
      </c>
      <c r="D930" s="9">
        <v>8</v>
      </c>
    </row>
    <row r="931" spans="1:4" x14ac:dyDescent="0.3">
      <c r="A931" s="9" t="s">
        <v>19</v>
      </c>
      <c r="B931" s="9" t="s">
        <v>43</v>
      </c>
      <c r="C931" s="9" t="s">
        <v>40</v>
      </c>
      <c r="D931" s="9">
        <v>64</v>
      </c>
    </row>
    <row r="932" spans="1:4" x14ac:dyDescent="0.3">
      <c r="A932" s="9" t="s">
        <v>19</v>
      </c>
      <c r="B932" s="9" t="s">
        <v>44</v>
      </c>
      <c r="C932" s="9" t="s">
        <v>40</v>
      </c>
      <c r="D932" s="9">
        <v>4</v>
      </c>
    </row>
    <row r="933" spans="1:4" x14ac:dyDescent="0.3">
      <c r="A933" s="9" t="s">
        <v>19</v>
      </c>
      <c r="B933" s="9" t="s">
        <v>45</v>
      </c>
      <c r="C933" s="9" t="s">
        <v>40</v>
      </c>
      <c r="D933" s="9">
        <v>60</v>
      </c>
    </row>
    <row r="934" spans="1:4" x14ac:dyDescent="0.3">
      <c r="A934" s="9" t="s">
        <v>19</v>
      </c>
      <c r="B934" s="9" t="s">
        <v>71</v>
      </c>
      <c r="C934" s="9" t="s">
        <v>40</v>
      </c>
      <c r="D934" s="9">
        <v>8</v>
      </c>
    </row>
    <row r="935" spans="1:4" x14ac:dyDescent="0.3">
      <c r="A935" s="9" t="s">
        <v>19</v>
      </c>
      <c r="B935" s="9" t="s">
        <v>72</v>
      </c>
      <c r="C935" s="9" t="s">
        <v>40</v>
      </c>
      <c r="D935" s="9">
        <v>0</v>
      </c>
    </row>
    <row r="936" spans="1:4" x14ac:dyDescent="0.3">
      <c r="A936" s="9" t="s">
        <v>19</v>
      </c>
      <c r="B936" s="9" t="s">
        <v>82</v>
      </c>
      <c r="C936" s="9" t="s">
        <v>40</v>
      </c>
      <c r="D936" s="9">
        <v>130</v>
      </c>
    </row>
    <row r="937" spans="1:4" x14ac:dyDescent="0.3">
      <c r="A937" s="9" t="s">
        <v>19</v>
      </c>
      <c r="B937" s="9" t="s">
        <v>81</v>
      </c>
      <c r="C937" s="9" t="s">
        <v>81</v>
      </c>
      <c r="D937" s="9">
        <v>105</v>
      </c>
    </row>
    <row r="938" spans="1:4" x14ac:dyDescent="0.3">
      <c r="A938" s="9" t="s">
        <v>19</v>
      </c>
      <c r="B938" s="9" t="s">
        <v>73</v>
      </c>
      <c r="C938" s="9" t="s">
        <v>81</v>
      </c>
      <c r="D938" s="9">
        <v>0</v>
      </c>
    </row>
    <row r="939" spans="1:4" x14ac:dyDescent="0.3">
      <c r="A939" s="9" t="s">
        <v>19</v>
      </c>
      <c r="B939" s="9" t="s">
        <v>80</v>
      </c>
      <c r="C939" s="9" t="s">
        <v>81</v>
      </c>
      <c r="D939" s="9">
        <v>0</v>
      </c>
    </row>
    <row r="940" spans="1:4" x14ac:dyDescent="0.3">
      <c r="A940" s="9" t="s">
        <v>19</v>
      </c>
      <c r="B940" s="9" t="s">
        <v>79</v>
      </c>
      <c r="C940" s="9" t="s">
        <v>96</v>
      </c>
      <c r="D940" s="9">
        <v>1195</v>
      </c>
    </row>
    <row r="941" spans="1:4" x14ac:dyDescent="0.3">
      <c r="A941" s="9" t="s">
        <v>19</v>
      </c>
      <c r="B941" s="9" t="s">
        <v>46</v>
      </c>
      <c r="C941" s="9" t="s">
        <v>96</v>
      </c>
      <c r="D941" s="9">
        <v>1193</v>
      </c>
    </row>
    <row r="942" spans="1:4" x14ac:dyDescent="0.3">
      <c r="A942" s="9" t="s">
        <v>19</v>
      </c>
      <c r="B942" s="9" t="s">
        <v>47</v>
      </c>
      <c r="C942" s="9" t="s">
        <v>96</v>
      </c>
      <c r="D942" s="9">
        <v>2</v>
      </c>
    </row>
    <row r="943" spans="1:4" x14ac:dyDescent="0.3">
      <c r="A943" s="9" t="s">
        <v>19</v>
      </c>
      <c r="B943" s="9" t="s">
        <v>48</v>
      </c>
      <c r="C943" s="9" t="s">
        <v>97</v>
      </c>
      <c r="D943" s="9">
        <v>123</v>
      </c>
    </row>
    <row r="944" spans="1:4" x14ac:dyDescent="0.3">
      <c r="A944" s="9" t="s">
        <v>19</v>
      </c>
      <c r="B944" s="9" t="s">
        <v>49</v>
      </c>
      <c r="C944" s="9" t="s">
        <v>97</v>
      </c>
      <c r="D944" s="9">
        <v>123</v>
      </c>
    </row>
    <row r="945" spans="1:4" x14ac:dyDescent="0.3">
      <c r="A945" s="9" t="s">
        <v>19</v>
      </c>
      <c r="B945" s="9" t="s">
        <v>50</v>
      </c>
      <c r="C945" s="9" t="s">
        <v>97</v>
      </c>
      <c r="D945" s="9">
        <v>0</v>
      </c>
    </row>
    <row r="946" spans="1:4" x14ac:dyDescent="0.3">
      <c r="A946" s="9" t="s">
        <v>19</v>
      </c>
      <c r="B946" s="9" t="s">
        <v>51</v>
      </c>
      <c r="C946" s="9" t="s">
        <v>99</v>
      </c>
      <c r="D946" s="9">
        <v>9367</v>
      </c>
    </row>
    <row r="947" spans="1:4" x14ac:dyDescent="0.3">
      <c r="A947" s="9" t="s">
        <v>19</v>
      </c>
      <c r="B947" s="9" t="s">
        <v>52</v>
      </c>
      <c r="C947" s="9" t="s">
        <v>99</v>
      </c>
      <c r="D947" s="9">
        <v>9365</v>
      </c>
    </row>
    <row r="948" spans="1:4" x14ac:dyDescent="0.3">
      <c r="A948" s="9" t="s">
        <v>19</v>
      </c>
      <c r="B948" s="9" t="s">
        <v>53</v>
      </c>
      <c r="C948" s="9" t="s">
        <v>99</v>
      </c>
      <c r="D948" s="9">
        <v>2</v>
      </c>
    </row>
    <row r="949" spans="1:4" x14ac:dyDescent="0.3">
      <c r="A949" s="9" t="s">
        <v>19</v>
      </c>
      <c r="B949" s="9" t="s">
        <v>54</v>
      </c>
      <c r="C949" s="9" t="s">
        <v>98</v>
      </c>
      <c r="D949" s="9">
        <v>569</v>
      </c>
    </row>
    <row r="950" spans="1:4" x14ac:dyDescent="0.3">
      <c r="A950" s="9" t="s">
        <v>19</v>
      </c>
      <c r="B950" s="9" t="s">
        <v>55</v>
      </c>
      <c r="C950" s="9" t="s">
        <v>98</v>
      </c>
      <c r="D950" s="9">
        <v>569</v>
      </c>
    </row>
    <row r="951" spans="1:4" x14ac:dyDescent="0.3">
      <c r="A951" s="9" t="s">
        <v>19</v>
      </c>
      <c r="B951" s="9" t="s">
        <v>56</v>
      </c>
      <c r="C951" s="9" t="s">
        <v>98</v>
      </c>
      <c r="D951" s="9">
        <v>0</v>
      </c>
    </row>
    <row r="952" spans="1:4" x14ac:dyDescent="0.3">
      <c r="A952" s="9" t="s">
        <v>19</v>
      </c>
      <c r="B952" s="9" t="s">
        <v>74</v>
      </c>
      <c r="C952" s="9" t="s">
        <v>74</v>
      </c>
      <c r="D952" s="9">
        <v>5</v>
      </c>
    </row>
    <row r="953" spans="1:4" x14ac:dyDescent="0.3">
      <c r="A953" s="9" t="s">
        <v>19</v>
      </c>
      <c r="B953" s="9" t="s">
        <v>57</v>
      </c>
      <c r="C953" s="9" t="s">
        <v>100</v>
      </c>
      <c r="D953" s="9">
        <v>15</v>
      </c>
    </row>
    <row r="954" spans="1:4" x14ac:dyDescent="0.3">
      <c r="A954" s="9" t="s">
        <v>19</v>
      </c>
      <c r="B954" s="9" t="s">
        <v>76</v>
      </c>
      <c r="C954" s="9" t="s">
        <v>100</v>
      </c>
      <c r="D954" s="9">
        <v>3</v>
      </c>
    </row>
    <row r="955" spans="1:4" x14ac:dyDescent="0.3">
      <c r="A955" s="9" t="s">
        <v>19</v>
      </c>
      <c r="B955" s="9" t="s">
        <v>58</v>
      </c>
      <c r="C955" s="9" t="s">
        <v>100</v>
      </c>
      <c r="D955" s="9">
        <v>0</v>
      </c>
    </row>
    <row r="956" spans="1:4" x14ac:dyDescent="0.3">
      <c r="A956" s="9" t="s">
        <v>19</v>
      </c>
      <c r="B956" s="9" t="s">
        <v>59</v>
      </c>
      <c r="C956" s="9" t="s">
        <v>100</v>
      </c>
      <c r="D956" s="9">
        <v>0</v>
      </c>
    </row>
    <row r="957" spans="1:4" x14ac:dyDescent="0.3">
      <c r="A957" s="9" t="s">
        <v>19</v>
      </c>
      <c r="B957" s="9" t="s">
        <v>60</v>
      </c>
      <c r="C957" s="9" t="s">
        <v>100</v>
      </c>
      <c r="D957" s="9">
        <v>7</v>
      </c>
    </row>
    <row r="958" spans="1:4" x14ac:dyDescent="0.3">
      <c r="A958" s="9" t="s">
        <v>19</v>
      </c>
      <c r="B958" s="9" t="s">
        <v>61</v>
      </c>
      <c r="C958" s="9" t="s">
        <v>100</v>
      </c>
      <c r="D958" s="9">
        <v>5</v>
      </c>
    </row>
    <row r="959" spans="1:4" x14ac:dyDescent="0.3">
      <c r="A959" s="9" t="s">
        <v>19</v>
      </c>
      <c r="B959" s="9" t="s">
        <v>78</v>
      </c>
      <c r="C959" s="9" t="s">
        <v>95</v>
      </c>
      <c r="D959" s="9">
        <v>0</v>
      </c>
    </row>
    <row r="960" spans="1:4" x14ac:dyDescent="0.3">
      <c r="A960" s="9" t="s">
        <v>19</v>
      </c>
      <c r="B960" s="9" t="s">
        <v>62</v>
      </c>
      <c r="C960" s="9" t="s">
        <v>101</v>
      </c>
      <c r="D960" s="9">
        <v>761</v>
      </c>
    </row>
    <row r="961" spans="1:4" x14ac:dyDescent="0.3">
      <c r="A961" s="9" t="s">
        <v>19</v>
      </c>
      <c r="B961" s="9" t="s">
        <v>63</v>
      </c>
      <c r="C961" s="9" t="s">
        <v>101</v>
      </c>
      <c r="D961" s="9">
        <v>358</v>
      </c>
    </row>
    <row r="962" spans="1:4" x14ac:dyDescent="0.3">
      <c r="A962" s="9" t="s">
        <v>19</v>
      </c>
      <c r="B962" s="9" t="s">
        <v>64</v>
      </c>
      <c r="C962" s="9" t="s">
        <v>101</v>
      </c>
      <c r="D962" s="9">
        <v>403</v>
      </c>
    </row>
    <row r="963" spans="1:4" x14ac:dyDescent="0.3">
      <c r="A963" s="9" t="s">
        <v>19</v>
      </c>
      <c r="B963" s="9" t="s">
        <v>77</v>
      </c>
      <c r="C963" s="9" t="s">
        <v>102</v>
      </c>
      <c r="D963" s="9">
        <v>2368</v>
      </c>
    </row>
    <row r="964" spans="1:4" x14ac:dyDescent="0.3">
      <c r="A964" s="9" t="s">
        <v>19</v>
      </c>
      <c r="B964" s="9" t="s">
        <v>65</v>
      </c>
      <c r="C964" s="9" t="s">
        <v>102</v>
      </c>
      <c r="D964" s="9">
        <v>1631</v>
      </c>
    </row>
    <row r="965" spans="1:4" x14ac:dyDescent="0.3">
      <c r="A965" s="9" t="s">
        <v>19</v>
      </c>
      <c r="B965" s="9" t="s">
        <v>66</v>
      </c>
      <c r="C965" s="9" t="s">
        <v>102</v>
      </c>
      <c r="D965" s="9">
        <v>701</v>
      </c>
    </row>
    <row r="966" spans="1:4" x14ac:dyDescent="0.3">
      <c r="A966" s="9" t="s">
        <v>19</v>
      </c>
      <c r="B966" s="9" t="s">
        <v>67</v>
      </c>
      <c r="C966" s="9" t="s">
        <v>102</v>
      </c>
      <c r="D966" s="9">
        <v>1</v>
      </c>
    </row>
    <row r="967" spans="1:4" x14ac:dyDescent="0.3">
      <c r="A967" s="9" t="s">
        <v>19</v>
      </c>
      <c r="B967" s="9" t="s">
        <v>68</v>
      </c>
      <c r="C967" s="9" t="s">
        <v>102</v>
      </c>
      <c r="D967" s="9">
        <v>30</v>
      </c>
    </row>
    <row r="968" spans="1:4" x14ac:dyDescent="0.3">
      <c r="A968" s="9" t="s">
        <v>19</v>
      </c>
      <c r="B968" s="9" t="s">
        <v>69</v>
      </c>
      <c r="C968" s="9" t="s">
        <v>102</v>
      </c>
      <c r="D968" s="9">
        <v>5</v>
      </c>
    </row>
    <row r="969" spans="1:4" x14ac:dyDescent="0.3">
      <c r="A969" s="9" t="s">
        <v>19</v>
      </c>
      <c r="B969" s="9" t="s">
        <v>70</v>
      </c>
      <c r="C969" s="9" t="s">
        <v>102</v>
      </c>
      <c r="D969" s="9">
        <v>0</v>
      </c>
    </row>
    <row r="970" spans="1:4" x14ac:dyDescent="0.3">
      <c r="A970" s="9" t="s">
        <v>19</v>
      </c>
      <c r="B970" s="9" t="s">
        <v>75</v>
      </c>
      <c r="C970" s="9" t="s">
        <v>103</v>
      </c>
      <c r="D970" s="9">
        <v>8</v>
      </c>
    </row>
    <row r="971" spans="1:4" x14ac:dyDescent="0.3">
      <c r="A971" s="9" t="s">
        <v>20</v>
      </c>
      <c r="B971" s="9" t="s">
        <v>88</v>
      </c>
      <c r="C971" s="9" t="s">
        <v>92</v>
      </c>
      <c r="D971" s="9">
        <v>6</v>
      </c>
    </row>
    <row r="972" spans="1:4" x14ac:dyDescent="0.3">
      <c r="A972" s="9" t="s">
        <v>20</v>
      </c>
      <c r="B972" s="9" t="s">
        <v>38</v>
      </c>
      <c r="C972" s="9" t="s">
        <v>93</v>
      </c>
      <c r="D972" s="9">
        <v>44</v>
      </c>
    </row>
    <row r="973" spans="1:4" x14ac:dyDescent="0.3">
      <c r="A973" s="9" t="s">
        <v>20</v>
      </c>
      <c r="B973" s="9" t="s">
        <v>87</v>
      </c>
      <c r="C973" s="9" t="s">
        <v>94</v>
      </c>
      <c r="D973" s="9">
        <v>198</v>
      </c>
    </row>
    <row r="974" spans="1:4" x14ac:dyDescent="0.3">
      <c r="A974" s="9" t="s">
        <v>20</v>
      </c>
      <c r="B974" s="9" t="s">
        <v>86</v>
      </c>
      <c r="C974" s="9" t="s">
        <v>86</v>
      </c>
      <c r="D974" s="9">
        <v>7</v>
      </c>
    </row>
    <row r="975" spans="1:4" x14ac:dyDescent="0.3">
      <c r="A975" s="9" t="s">
        <v>20</v>
      </c>
      <c r="B975" s="9" t="s">
        <v>85</v>
      </c>
      <c r="C975" s="9" t="s">
        <v>85</v>
      </c>
      <c r="D975" s="9">
        <v>3</v>
      </c>
    </row>
    <row r="976" spans="1:4" x14ac:dyDescent="0.3">
      <c r="A976" s="9" t="s">
        <v>20</v>
      </c>
      <c r="B976" s="9" t="s">
        <v>84</v>
      </c>
      <c r="C976" s="9" t="s">
        <v>85</v>
      </c>
      <c r="D976" s="9">
        <v>0</v>
      </c>
    </row>
    <row r="977" spans="1:4" x14ac:dyDescent="0.3">
      <c r="A977" s="9" t="s">
        <v>20</v>
      </c>
      <c r="B977" s="9" t="s">
        <v>83</v>
      </c>
      <c r="C977" s="9" t="s">
        <v>95</v>
      </c>
      <c r="D977" s="9">
        <v>1532</v>
      </c>
    </row>
    <row r="978" spans="1:4" x14ac:dyDescent="0.3">
      <c r="A978" s="9" t="s">
        <v>20</v>
      </c>
      <c r="B978" s="9" t="s">
        <v>39</v>
      </c>
      <c r="C978" s="9" t="s">
        <v>40</v>
      </c>
      <c r="D978" s="9">
        <v>1430</v>
      </c>
    </row>
    <row r="979" spans="1:4" x14ac:dyDescent="0.3">
      <c r="A979" s="9" t="s">
        <v>20</v>
      </c>
      <c r="B979" s="9" t="s">
        <v>40</v>
      </c>
      <c r="C979" s="9" t="s">
        <v>40</v>
      </c>
      <c r="D979" s="9">
        <v>12</v>
      </c>
    </row>
    <row r="980" spans="1:4" x14ac:dyDescent="0.3">
      <c r="A980" s="9" t="s">
        <v>20</v>
      </c>
      <c r="B980" s="9" t="s">
        <v>41</v>
      </c>
      <c r="C980" s="9" t="s">
        <v>40</v>
      </c>
      <c r="D980" s="9">
        <v>1</v>
      </c>
    </row>
    <row r="981" spans="1:4" x14ac:dyDescent="0.3">
      <c r="A981" s="9" t="s">
        <v>20</v>
      </c>
      <c r="B981" s="9" t="s">
        <v>42</v>
      </c>
      <c r="C981" s="9" t="s">
        <v>40</v>
      </c>
      <c r="D981" s="9">
        <v>0</v>
      </c>
    </row>
    <row r="982" spans="1:4" x14ac:dyDescent="0.3">
      <c r="A982" s="9" t="s">
        <v>20</v>
      </c>
      <c r="B982" s="9" t="s">
        <v>43</v>
      </c>
      <c r="C982" s="9" t="s">
        <v>40</v>
      </c>
      <c r="D982" s="9">
        <v>1383</v>
      </c>
    </row>
    <row r="983" spans="1:4" x14ac:dyDescent="0.3">
      <c r="A983" s="9" t="s">
        <v>20</v>
      </c>
      <c r="B983" s="9" t="s">
        <v>44</v>
      </c>
      <c r="C983" s="9" t="s">
        <v>40</v>
      </c>
      <c r="D983" s="9">
        <v>105</v>
      </c>
    </row>
    <row r="984" spans="1:4" x14ac:dyDescent="0.3">
      <c r="A984" s="9" t="s">
        <v>20</v>
      </c>
      <c r="B984" s="9" t="s">
        <v>45</v>
      </c>
      <c r="C984" s="9" t="s">
        <v>40</v>
      </c>
      <c r="D984" s="9">
        <v>1278</v>
      </c>
    </row>
    <row r="985" spans="1:4" x14ac:dyDescent="0.3">
      <c r="A985" s="9" t="s">
        <v>20</v>
      </c>
      <c r="B985" s="9" t="s">
        <v>71</v>
      </c>
      <c r="C985" s="9" t="s">
        <v>40</v>
      </c>
      <c r="D985" s="9">
        <v>0</v>
      </c>
    </row>
    <row r="986" spans="1:4" x14ac:dyDescent="0.3">
      <c r="A986" s="9" t="s">
        <v>20</v>
      </c>
      <c r="B986" s="9" t="s">
        <v>72</v>
      </c>
      <c r="C986" s="9" t="s">
        <v>40</v>
      </c>
      <c r="D986" s="9">
        <v>0</v>
      </c>
    </row>
    <row r="987" spans="1:4" x14ac:dyDescent="0.3">
      <c r="A987" s="9" t="s">
        <v>20</v>
      </c>
      <c r="B987" s="9" t="s">
        <v>82</v>
      </c>
      <c r="C987" s="9" t="s">
        <v>40</v>
      </c>
      <c r="D987" s="9">
        <v>34</v>
      </c>
    </row>
    <row r="988" spans="1:4" x14ac:dyDescent="0.3">
      <c r="A988" s="9" t="s">
        <v>20</v>
      </c>
      <c r="B988" s="9" t="s">
        <v>81</v>
      </c>
      <c r="C988" s="9" t="s">
        <v>81</v>
      </c>
      <c r="D988" s="9">
        <v>20</v>
      </c>
    </row>
    <row r="989" spans="1:4" x14ac:dyDescent="0.3">
      <c r="A989" s="9" t="s">
        <v>20</v>
      </c>
      <c r="B989" s="9" t="s">
        <v>73</v>
      </c>
      <c r="C989" s="9" t="s">
        <v>81</v>
      </c>
      <c r="D989" s="9">
        <v>0</v>
      </c>
    </row>
    <row r="990" spans="1:4" x14ac:dyDescent="0.3">
      <c r="A990" s="9" t="s">
        <v>20</v>
      </c>
      <c r="B990" s="9" t="s">
        <v>80</v>
      </c>
      <c r="C990" s="9" t="s">
        <v>81</v>
      </c>
      <c r="D990" s="9">
        <v>0</v>
      </c>
    </row>
    <row r="991" spans="1:4" x14ac:dyDescent="0.3">
      <c r="A991" s="9" t="s">
        <v>20</v>
      </c>
      <c r="B991" s="9" t="s">
        <v>79</v>
      </c>
      <c r="C991" s="9" t="s">
        <v>96</v>
      </c>
      <c r="D991" s="9">
        <v>457</v>
      </c>
    </row>
    <row r="992" spans="1:4" x14ac:dyDescent="0.3">
      <c r="A992" s="9" t="s">
        <v>20</v>
      </c>
      <c r="B992" s="9" t="s">
        <v>46</v>
      </c>
      <c r="C992" s="9" t="s">
        <v>96</v>
      </c>
      <c r="D992" s="9">
        <v>457</v>
      </c>
    </row>
    <row r="993" spans="1:4" x14ac:dyDescent="0.3">
      <c r="A993" s="9" t="s">
        <v>20</v>
      </c>
      <c r="B993" s="9" t="s">
        <v>47</v>
      </c>
      <c r="C993" s="9" t="s">
        <v>96</v>
      </c>
      <c r="D993" s="9">
        <v>0</v>
      </c>
    </row>
    <row r="994" spans="1:4" x14ac:dyDescent="0.3">
      <c r="A994" s="9" t="s">
        <v>20</v>
      </c>
      <c r="B994" s="9" t="s">
        <v>48</v>
      </c>
      <c r="C994" s="9" t="s">
        <v>97</v>
      </c>
      <c r="D994" s="9">
        <v>23</v>
      </c>
    </row>
    <row r="995" spans="1:4" x14ac:dyDescent="0.3">
      <c r="A995" s="9" t="s">
        <v>20</v>
      </c>
      <c r="B995" s="9" t="s">
        <v>49</v>
      </c>
      <c r="C995" s="9" t="s">
        <v>97</v>
      </c>
      <c r="D995" s="9">
        <v>13</v>
      </c>
    </row>
    <row r="996" spans="1:4" x14ac:dyDescent="0.3">
      <c r="A996" s="9" t="s">
        <v>20</v>
      </c>
      <c r="B996" s="9" t="s">
        <v>50</v>
      </c>
      <c r="C996" s="9" t="s">
        <v>97</v>
      </c>
      <c r="D996" s="9">
        <v>10</v>
      </c>
    </row>
    <row r="997" spans="1:4" x14ac:dyDescent="0.3">
      <c r="A997" s="9" t="s">
        <v>20</v>
      </c>
      <c r="B997" s="9" t="s">
        <v>51</v>
      </c>
      <c r="C997" s="9" t="s">
        <v>99</v>
      </c>
      <c r="D997" s="9">
        <v>656</v>
      </c>
    </row>
    <row r="998" spans="1:4" x14ac:dyDescent="0.3">
      <c r="A998" s="9" t="s">
        <v>20</v>
      </c>
      <c r="B998" s="9" t="s">
        <v>52</v>
      </c>
      <c r="C998" s="9" t="s">
        <v>99</v>
      </c>
      <c r="D998" s="9">
        <v>618</v>
      </c>
    </row>
    <row r="999" spans="1:4" x14ac:dyDescent="0.3">
      <c r="A999" s="9" t="s">
        <v>20</v>
      </c>
      <c r="B999" s="9" t="s">
        <v>53</v>
      </c>
      <c r="C999" s="9" t="s">
        <v>99</v>
      </c>
      <c r="D999" s="9">
        <v>38</v>
      </c>
    </row>
    <row r="1000" spans="1:4" x14ac:dyDescent="0.3">
      <c r="A1000" s="9" t="s">
        <v>20</v>
      </c>
      <c r="B1000" s="9" t="s">
        <v>54</v>
      </c>
      <c r="C1000" s="9" t="s">
        <v>98</v>
      </c>
      <c r="D1000" s="9">
        <v>20</v>
      </c>
    </row>
    <row r="1001" spans="1:4" x14ac:dyDescent="0.3">
      <c r="A1001" s="9" t="s">
        <v>20</v>
      </c>
      <c r="B1001" s="9" t="s">
        <v>55</v>
      </c>
      <c r="C1001" s="9" t="s">
        <v>98</v>
      </c>
      <c r="D1001" s="9">
        <v>20</v>
      </c>
    </row>
    <row r="1002" spans="1:4" x14ac:dyDescent="0.3">
      <c r="A1002" s="9" t="s">
        <v>20</v>
      </c>
      <c r="B1002" s="9" t="s">
        <v>56</v>
      </c>
      <c r="C1002" s="9" t="s">
        <v>98</v>
      </c>
      <c r="D1002" s="9">
        <v>0</v>
      </c>
    </row>
    <row r="1003" spans="1:4" x14ac:dyDescent="0.3">
      <c r="A1003" s="9" t="s">
        <v>20</v>
      </c>
      <c r="B1003" s="9" t="s">
        <v>74</v>
      </c>
      <c r="C1003" s="9" t="s">
        <v>74</v>
      </c>
      <c r="D1003" s="9">
        <v>4</v>
      </c>
    </row>
    <row r="1004" spans="1:4" x14ac:dyDescent="0.3">
      <c r="A1004" s="9" t="s">
        <v>20</v>
      </c>
      <c r="B1004" s="9" t="s">
        <v>57</v>
      </c>
      <c r="C1004" s="9" t="s">
        <v>100</v>
      </c>
      <c r="D1004" s="9">
        <v>39</v>
      </c>
    </row>
    <row r="1005" spans="1:4" x14ac:dyDescent="0.3">
      <c r="A1005" s="9" t="s">
        <v>20</v>
      </c>
      <c r="B1005" s="9" t="s">
        <v>76</v>
      </c>
      <c r="C1005" s="9" t="s">
        <v>100</v>
      </c>
      <c r="D1005" s="9">
        <v>2</v>
      </c>
    </row>
    <row r="1006" spans="1:4" x14ac:dyDescent="0.3">
      <c r="A1006" s="9" t="s">
        <v>20</v>
      </c>
      <c r="B1006" s="9" t="s">
        <v>58</v>
      </c>
      <c r="C1006" s="9" t="s">
        <v>100</v>
      </c>
      <c r="D1006" s="9">
        <v>0</v>
      </c>
    </row>
    <row r="1007" spans="1:4" x14ac:dyDescent="0.3">
      <c r="A1007" s="9" t="s">
        <v>20</v>
      </c>
      <c r="B1007" s="9" t="s">
        <v>59</v>
      </c>
      <c r="C1007" s="9" t="s">
        <v>100</v>
      </c>
      <c r="D1007" s="9">
        <v>4</v>
      </c>
    </row>
    <row r="1008" spans="1:4" x14ac:dyDescent="0.3">
      <c r="A1008" s="9" t="s">
        <v>20</v>
      </c>
      <c r="B1008" s="9" t="s">
        <v>60</v>
      </c>
      <c r="C1008" s="9" t="s">
        <v>100</v>
      </c>
      <c r="D1008" s="9">
        <v>2</v>
      </c>
    </row>
    <row r="1009" spans="1:4" x14ac:dyDescent="0.3">
      <c r="A1009" s="9" t="s">
        <v>20</v>
      </c>
      <c r="B1009" s="9" t="s">
        <v>61</v>
      </c>
      <c r="C1009" s="9" t="s">
        <v>100</v>
      </c>
      <c r="D1009" s="9">
        <v>31</v>
      </c>
    </row>
    <row r="1010" spans="1:4" x14ac:dyDescent="0.3">
      <c r="A1010" s="9" t="s">
        <v>20</v>
      </c>
      <c r="B1010" s="9" t="s">
        <v>78</v>
      </c>
      <c r="C1010" s="9" t="s">
        <v>95</v>
      </c>
      <c r="D1010" s="9">
        <v>0</v>
      </c>
    </row>
    <row r="1011" spans="1:4" x14ac:dyDescent="0.3">
      <c r="A1011" s="9" t="s">
        <v>20</v>
      </c>
      <c r="B1011" s="9" t="s">
        <v>62</v>
      </c>
      <c r="C1011" s="9" t="s">
        <v>101</v>
      </c>
      <c r="D1011" s="9">
        <v>37</v>
      </c>
    </row>
    <row r="1012" spans="1:4" x14ac:dyDescent="0.3">
      <c r="A1012" s="9" t="s">
        <v>20</v>
      </c>
      <c r="B1012" s="9" t="s">
        <v>63</v>
      </c>
      <c r="C1012" s="9" t="s">
        <v>101</v>
      </c>
      <c r="D1012" s="9">
        <v>27</v>
      </c>
    </row>
    <row r="1013" spans="1:4" x14ac:dyDescent="0.3">
      <c r="A1013" s="9" t="s">
        <v>20</v>
      </c>
      <c r="B1013" s="9" t="s">
        <v>64</v>
      </c>
      <c r="C1013" s="9" t="s">
        <v>101</v>
      </c>
      <c r="D1013" s="9">
        <v>10</v>
      </c>
    </row>
    <row r="1014" spans="1:4" x14ac:dyDescent="0.3">
      <c r="A1014" s="9" t="s">
        <v>20</v>
      </c>
      <c r="B1014" s="9" t="s">
        <v>77</v>
      </c>
      <c r="C1014" s="9" t="s">
        <v>102</v>
      </c>
      <c r="D1014" s="9">
        <v>782</v>
      </c>
    </row>
    <row r="1015" spans="1:4" x14ac:dyDescent="0.3">
      <c r="A1015" s="9" t="s">
        <v>20</v>
      </c>
      <c r="B1015" s="9" t="s">
        <v>65</v>
      </c>
      <c r="C1015" s="9" t="s">
        <v>102</v>
      </c>
      <c r="D1015" s="9">
        <v>616</v>
      </c>
    </row>
    <row r="1016" spans="1:4" x14ac:dyDescent="0.3">
      <c r="A1016" s="9" t="s">
        <v>20</v>
      </c>
      <c r="B1016" s="9" t="s">
        <v>66</v>
      </c>
      <c r="C1016" s="9" t="s">
        <v>102</v>
      </c>
      <c r="D1016" s="9">
        <v>152</v>
      </c>
    </row>
    <row r="1017" spans="1:4" x14ac:dyDescent="0.3">
      <c r="A1017" s="9" t="s">
        <v>20</v>
      </c>
      <c r="B1017" s="9" t="s">
        <v>67</v>
      </c>
      <c r="C1017" s="9" t="s">
        <v>102</v>
      </c>
      <c r="D1017" s="9">
        <v>2</v>
      </c>
    </row>
    <row r="1018" spans="1:4" x14ac:dyDescent="0.3">
      <c r="A1018" s="9" t="s">
        <v>20</v>
      </c>
      <c r="B1018" s="9" t="s">
        <v>68</v>
      </c>
      <c r="C1018" s="9" t="s">
        <v>102</v>
      </c>
      <c r="D1018" s="9">
        <v>11</v>
      </c>
    </row>
    <row r="1019" spans="1:4" x14ac:dyDescent="0.3">
      <c r="A1019" s="9" t="s">
        <v>20</v>
      </c>
      <c r="B1019" s="9" t="s">
        <v>69</v>
      </c>
      <c r="C1019" s="9" t="s">
        <v>102</v>
      </c>
      <c r="D1019" s="9">
        <v>1</v>
      </c>
    </row>
    <row r="1020" spans="1:4" x14ac:dyDescent="0.3">
      <c r="A1020" s="9" t="s">
        <v>20</v>
      </c>
      <c r="B1020" s="9" t="s">
        <v>70</v>
      </c>
      <c r="C1020" s="9" t="s">
        <v>102</v>
      </c>
      <c r="D1020" s="9">
        <v>0</v>
      </c>
    </row>
    <row r="1021" spans="1:4" x14ac:dyDescent="0.3">
      <c r="A1021" s="9" t="s">
        <v>20</v>
      </c>
      <c r="B1021" s="9" t="s">
        <v>75</v>
      </c>
      <c r="C1021" s="9" t="s">
        <v>103</v>
      </c>
      <c r="D1021" s="9">
        <v>0</v>
      </c>
    </row>
    <row r="1022" spans="1:4" x14ac:dyDescent="0.3">
      <c r="A1022" s="9" t="s">
        <v>21</v>
      </c>
      <c r="B1022" s="9" t="s">
        <v>88</v>
      </c>
      <c r="C1022" s="9" t="s">
        <v>92</v>
      </c>
      <c r="D1022" s="9">
        <v>20</v>
      </c>
    </row>
    <row r="1023" spans="1:4" x14ac:dyDescent="0.3">
      <c r="A1023" s="9" t="s">
        <v>21</v>
      </c>
      <c r="B1023" s="9" t="s">
        <v>38</v>
      </c>
      <c r="C1023" s="9" t="s">
        <v>93</v>
      </c>
      <c r="D1023" s="9">
        <v>428</v>
      </c>
    </row>
    <row r="1024" spans="1:4" x14ac:dyDescent="0.3">
      <c r="A1024" s="9" t="s">
        <v>21</v>
      </c>
      <c r="B1024" s="9" t="s">
        <v>87</v>
      </c>
      <c r="C1024" s="9" t="s">
        <v>94</v>
      </c>
      <c r="D1024" s="9">
        <v>165</v>
      </c>
    </row>
    <row r="1025" spans="1:4" x14ac:dyDescent="0.3">
      <c r="A1025" s="9" t="s">
        <v>21</v>
      </c>
      <c r="B1025" s="9" t="s">
        <v>86</v>
      </c>
      <c r="C1025" s="9" t="s">
        <v>86</v>
      </c>
      <c r="D1025" s="9">
        <v>4</v>
      </c>
    </row>
    <row r="1026" spans="1:4" x14ac:dyDescent="0.3">
      <c r="A1026" s="9" t="s">
        <v>21</v>
      </c>
      <c r="B1026" s="9" t="s">
        <v>85</v>
      </c>
      <c r="C1026" s="9" t="s">
        <v>85</v>
      </c>
      <c r="D1026" s="9">
        <v>4</v>
      </c>
    </row>
    <row r="1027" spans="1:4" x14ac:dyDescent="0.3">
      <c r="A1027" s="9" t="s">
        <v>21</v>
      </c>
      <c r="B1027" s="9" t="s">
        <v>84</v>
      </c>
      <c r="C1027" s="9" t="s">
        <v>85</v>
      </c>
      <c r="D1027" s="9">
        <v>1</v>
      </c>
    </row>
    <row r="1028" spans="1:4" x14ac:dyDescent="0.3">
      <c r="A1028" s="9" t="s">
        <v>21</v>
      </c>
      <c r="B1028" s="9" t="s">
        <v>83</v>
      </c>
      <c r="C1028" s="9" t="s">
        <v>95</v>
      </c>
      <c r="D1028" s="9">
        <v>18033</v>
      </c>
    </row>
    <row r="1029" spans="1:4" x14ac:dyDescent="0.3">
      <c r="A1029" s="9" t="s">
        <v>21</v>
      </c>
      <c r="B1029" s="9" t="s">
        <v>39</v>
      </c>
      <c r="C1029" s="9" t="s">
        <v>40</v>
      </c>
      <c r="D1029" s="9">
        <v>7522</v>
      </c>
    </row>
    <row r="1030" spans="1:4" x14ac:dyDescent="0.3">
      <c r="A1030" s="9" t="s">
        <v>21</v>
      </c>
      <c r="B1030" s="9" t="s">
        <v>40</v>
      </c>
      <c r="C1030" s="9" t="s">
        <v>40</v>
      </c>
      <c r="D1030" s="9">
        <v>4528</v>
      </c>
    </row>
    <row r="1031" spans="1:4" x14ac:dyDescent="0.3">
      <c r="A1031" s="9" t="s">
        <v>21</v>
      </c>
      <c r="B1031" s="9" t="s">
        <v>41</v>
      </c>
      <c r="C1031" s="9" t="s">
        <v>40</v>
      </c>
      <c r="D1031" s="9">
        <v>0</v>
      </c>
    </row>
    <row r="1032" spans="1:4" x14ac:dyDescent="0.3">
      <c r="A1032" s="9" t="s">
        <v>21</v>
      </c>
      <c r="B1032" s="9" t="s">
        <v>42</v>
      </c>
      <c r="C1032" s="9" t="s">
        <v>40</v>
      </c>
      <c r="D1032" s="9">
        <v>11</v>
      </c>
    </row>
    <row r="1033" spans="1:4" x14ac:dyDescent="0.3">
      <c r="A1033" s="9" t="s">
        <v>21</v>
      </c>
      <c r="B1033" s="9" t="s">
        <v>43</v>
      </c>
      <c r="C1033" s="9" t="s">
        <v>40</v>
      </c>
      <c r="D1033" s="9">
        <v>1546</v>
      </c>
    </row>
    <row r="1034" spans="1:4" x14ac:dyDescent="0.3">
      <c r="A1034" s="9" t="s">
        <v>21</v>
      </c>
      <c r="B1034" s="9" t="s">
        <v>44</v>
      </c>
      <c r="C1034" s="9" t="s">
        <v>40</v>
      </c>
      <c r="D1034" s="9">
        <v>884</v>
      </c>
    </row>
    <row r="1035" spans="1:4" x14ac:dyDescent="0.3">
      <c r="A1035" s="9" t="s">
        <v>21</v>
      </c>
      <c r="B1035" s="9" t="s">
        <v>45</v>
      </c>
      <c r="C1035" s="9" t="s">
        <v>40</v>
      </c>
      <c r="D1035" s="9">
        <v>662</v>
      </c>
    </row>
    <row r="1036" spans="1:4" x14ac:dyDescent="0.3">
      <c r="A1036" s="9" t="s">
        <v>21</v>
      </c>
      <c r="B1036" s="9" t="s">
        <v>71</v>
      </c>
      <c r="C1036" s="9" t="s">
        <v>40</v>
      </c>
      <c r="D1036" s="9">
        <v>10</v>
      </c>
    </row>
    <row r="1037" spans="1:4" x14ac:dyDescent="0.3">
      <c r="A1037" s="9" t="s">
        <v>21</v>
      </c>
      <c r="B1037" s="9" t="s">
        <v>72</v>
      </c>
      <c r="C1037" s="9" t="s">
        <v>40</v>
      </c>
      <c r="D1037" s="9">
        <v>0</v>
      </c>
    </row>
    <row r="1038" spans="1:4" x14ac:dyDescent="0.3">
      <c r="A1038" s="9" t="s">
        <v>21</v>
      </c>
      <c r="B1038" s="9" t="s">
        <v>82</v>
      </c>
      <c r="C1038" s="9" t="s">
        <v>40</v>
      </c>
      <c r="D1038" s="9">
        <v>1427</v>
      </c>
    </row>
    <row r="1039" spans="1:4" x14ac:dyDescent="0.3">
      <c r="A1039" s="9" t="s">
        <v>21</v>
      </c>
      <c r="B1039" s="9" t="s">
        <v>81</v>
      </c>
      <c r="C1039" s="9" t="s">
        <v>81</v>
      </c>
      <c r="D1039" s="9">
        <v>8</v>
      </c>
    </row>
    <row r="1040" spans="1:4" x14ac:dyDescent="0.3">
      <c r="A1040" s="9" t="s">
        <v>21</v>
      </c>
      <c r="B1040" s="9" t="s">
        <v>73</v>
      </c>
      <c r="C1040" s="9" t="s">
        <v>81</v>
      </c>
      <c r="D1040" s="9">
        <v>0</v>
      </c>
    </row>
    <row r="1041" spans="1:4" x14ac:dyDescent="0.3">
      <c r="A1041" s="9" t="s">
        <v>21</v>
      </c>
      <c r="B1041" s="9" t="s">
        <v>80</v>
      </c>
      <c r="C1041" s="9" t="s">
        <v>81</v>
      </c>
      <c r="D1041" s="9">
        <v>0</v>
      </c>
    </row>
    <row r="1042" spans="1:4" x14ac:dyDescent="0.3">
      <c r="A1042" s="9" t="s">
        <v>21</v>
      </c>
      <c r="B1042" s="9" t="s">
        <v>79</v>
      </c>
      <c r="C1042" s="9" t="s">
        <v>96</v>
      </c>
      <c r="D1042" s="9">
        <v>5078</v>
      </c>
    </row>
    <row r="1043" spans="1:4" x14ac:dyDescent="0.3">
      <c r="A1043" s="9" t="s">
        <v>21</v>
      </c>
      <c r="B1043" s="9" t="s">
        <v>46</v>
      </c>
      <c r="C1043" s="9" t="s">
        <v>96</v>
      </c>
      <c r="D1043" s="9">
        <v>5078</v>
      </c>
    </row>
    <row r="1044" spans="1:4" x14ac:dyDescent="0.3">
      <c r="A1044" s="9" t="s">
        <v>21</v>
      </c>
      <c r="B1044" s="9" t="s">
        <v>47</v>
      </c>
      <c r="C1044" s="9" t="s">
        <v>96</v>
      </c>
      <c r="D1044" s="9">
        <v>0</v>
      </c>
    </row>
    <row r="1045" spans="1:4" x14ac:dyDescent="0.3">
      <c r="A1045" s="9" t="s">
        <v>21</v>
      </c>
      <c r="B1045" s="9" t="s">
        <v>48</v>
      </c>
      <c r="C1045" s="9" t="s">
        <v>97</v>
      </c>
      <c r="D1045" s="9">
        <v>845</v>
      </c>
    </row>
    <row r="1046" spans="1:4" x14ac:dyDescent="0.3">
      <c r="A1046" s="9" t="s">
        <v>21</v>
      </c>
      <c r="B1046" s="9" t="s">
        <v>49</v>
      </c>
      <c r="C1046" s="9" t="s">
        <v>97</v>
      </c>
      <c r="D1046" s="9">
        <v>845</v>
      </c>
    </row>
    <row r="1047" spans="1:4" x14ac:dyDescent="0.3">
      <c r="A1047" s="9" t="s">
        <v>21</v>
      </c>
      <c r="B1047" s="9" t="s">
        <v>50</v>
      </c>
      <c r="C1047" s="9" t="s">
        <v>97</v>
      </c>
      <c r="D1047" s="9">
        <v>0</v>
      </c>
    </row>
    <row r="1048" spans="1:4" x14ac:dyDescent="0.3">
      <c r="A1048" s="9" t="s">
        <v>21</v>
      </c>
      <c r="B1048" s="9" t="s">
        <v>51</v>
      </c>
      <c r="C1048" s="9" t="s">
        <v>99</v>
      </c>
      <c r="D1048" s="9">
        <v>9456</v>
      </c>
    </row>
    <row r="1049" spans="1:4" x14ac:dyDescent="0.3">
      <c r="A1049" s="9" t="s">
        <v>21</v>
      </c>
      <c r="B1049" s="9" t="s">
        <v>52</v>
      </c>
      <c r="C1049" s="9" t="s">
        <v>99</v>
      </c>
      <c r="D1049" s="9">
        <v>9456</v>
      </c>
    </row>
    <row r="1050" spans="1:4" x14ac:dyDescent="0.3">
      <c r="A1050" s="9" t="s">
        <v>21</v>
      </c>
      <c r="B1050" s="9" t="s">
        <v>53</v>
      </c>
      <c r="C1050" s="9" t="s">
        <v>99</v>
      </c>
      <c r="D1050" s="9">
        <v>0</v>
      </c>
    </row>
    <row r="1051" spans="1:4" x14ac:dyDescent="0.3">
      <c r="A1051" s="9" t="s">
        <v>21</v>
      </c>
      <c r="B1051" s="9" t="s">
        <v>54</v>
      </c>
      <c r="C1051" s="9" t="s">
        <v>98</v>
      </c>
      <c r="D1051" s="9">
        <v>81</v>
      </c>
    </row>
    <row r="1052" spans="1:4" x14ac:dyDescent="0.3">
      <c r="A1052" s="9" t="s">
        <v>21</v>
      </c>
      <c r="B1052" s="9" t="s">
        <v>55</v>
      </c>
      <c r="C1052" s="9" t="s">
        <v>98</v>
      </c>
      <c r="D1052" s="9">
        <v>81</v>
      </c>
    </row>
    <row r="1053" spans="1:4" x14ac:dyDescent="0.3">
      <c r="A1053" s="9" t="s">
        <v>21</v>
      </c>
      <c r="B1053" s="9" t="s">
        <v>56</v>
      </c>
      <c r="C1053" s="9" t="s">
        <v>98</v>
      </c>
      <c r="D1053" s="9">
        <v>0</v>
      </c>
    </row>
    <row r="1054" spans="1:4" x14ac:dyDescent="0.3">
      <c r="A1054" s="9" t="s">
        <v>21</v>
      </c>
      <c r="B1054" s="9" t="s">
        <v>74</v>
      </c>
      <c r="C1054" s="9" t="s">
        <v>74</v>
      </c>
      <c r="D1054" s="9">
        <v>1</v>
      </c>
    </row>
    <row r="1055" spans="1:4" x14ac:dyDescent="0.3">
      <c r="A1055" s="9" t="s">
        <v>21</v>
      </c>
      <c r="B1055" s="9" t="s">
        <v>57</v>
      </c>
      <c r="C1055" s="9" t="s">
        <v>100</v>
      </c>
      <c r="D1055" s="9">
        <v>16</v>
      </c>
    </row>
    <row r="1056" spans="1:4" x14ac:dyDescent="0.3">
      <c r="A1056" s="9" t="s">
        <v>21</v>
      </c>
      <c r="B1056" s="9" t="s">
        <v>76</v>
      </c>
      <c r="C1056" s="9" t="s">
        <v>100</v>
      </c>
      <c r="D1056" s="9">
        <v>6</v>
      </c>
    </row>
    <row r="1057" spans="1:4" x14ac:dyDescent="0.3">
      <c r="A1057" s="9" t="s">
        <v>21</v>
      </c>
      <c r="B1057" s="9" t="s">
        <v>58</v>
      </c>
      <c r="C1057" s="9" t="s">
        <v>100</v>
      </c>
      <c r="D1057" s="9">
        <v>0</v>
      </c>
    </row>
    <row r="1058" spans="1:4" x14ac:dyDescent="0.3">
      <c r="A1058" s="9" t="s">
        <v>21</v>
      </c>
      <c r="B1058" s="9" t="s">
        <v>59</v>
      </c>
      <c r="C1058" s="9" t="s">
        <v>100</v>
      </c>
      <c r="D1058" s="9">
        <v>3</v>
      </c>
    </row>
    <row r="1059" spans="1:4" x14ac:dyDescent="0.3">
      <c r="A1059" s="9" t="s">
        <v>21</v>
      </c>
      <c r="B1059" s="9" t="s">
        <v>60</v>
      </c>
      <c r="C1059" s="9" t="s">
        <v>100</v>
      </c>
      <c r="D1059" s="9">
        <v>0</v>
      </c>
    </row>
    <row r="1060" spans="1:4" x14ac:dyDescent="0.3">
      <c r="A1060" s="9" t="s">
        <v>21</v>
      </c>
      <c r="B1060" s="9" t="s">
        <v>61</v>
      </c>
      <c r="C1060" s="9" t="s">
        <v>100</v>
      </c>
      <c r="D1060" s="9">
        <v>7</v>
      </c>
    </row>
    <row r="1061" spans="1:4" x14ac:dyDescent="0.3">
      <c r="A1061" s="9" t="s">
        <v>21</v>
      </c>
      <c r="B1061" s="9" t="s">
        <v>78</v>
      </c>
      <c r="C1061" s="9" t="s">
        <v>95</v>
      </c>
      <c r="D1061" s="9">
        <v>1</v>
      </c>
    </row>
    <row r="1062" spans="1:4" x14ac:dyDescent="0.3">
      <c r="A1062" s="9" t="s">
        <v>21</v>
      </c>
      <c r="B1062" s="9" t="s">
        <v>62</v>
      </c>
      <c r="C1062" s="9" t="s">
        <v>101</v>
      </c>
      <c r="D1062" s="9">
        <v>225</v>
      </c>
    </row>
    <row r="1063" spans="1:4" x14ac:dyDescent="0.3">
      <c r="A1063" s="9" t="s">
        <v>21</v>
      </c>
      <c r="B1063" s="9" t="s">
        <v>63</v>
      </c>
      <c r="C1063" s="9" t="s">
        <v>101</v>
      </c>
      <c r="D1063" s="9">
        <v>212</v>
      </c>
    </row>
    <row r="1064" spans="1:4" x14ac:dyDescent="0.3">
      <c r="A1064" s="9" t="s">
        <v>21</v>
      </c>
      <c r="B1064" s="9" t="s">
        <v>64</v>
      </c>
      <c r="C1064" s="9" t="s">
        <v>101</v>
      </c>
      <c r="D1064" s="9">
        <v>13</v>
      </c>
    </row>
    <row r="1065" spans="1:4" x14ac:dyDescent="0.3">
      <c r="A1065" s="9" t="s">
        <v>21</v>
      </c>
      <c r="B1065" s="9" t="s">
        <v>77</v>
      </c>
      <c r="C1065" s="9" t="s">
        <v>102</v>
      </c>
      <c r="D1065" s="9">
        <v>3556</v>
      </c>
    </row>
    <row r="1066" spans="1:4" x14ac:dyDescent="0.3">
      <c r="A1066" s="9" t="s">
        <v>21</v>
      </c>
      <c r="B1066" s="9" t="s">
        <v>65</v>
      </c>
      <c r="C1066" s="9" t="s">
        <v>102</v>
      </c>
      <c r="D1066" s="9">
        <v>1865</v>
      </c>
    </row>
    <row r="1067" spans="1:4" x14ac:dyDescent="0.3">
      <c r="A1067" s="9" t="s">
        <v>21</v>
      </c>
      <c r="B1067" s="9" t="s">
        <v>66</v>
      </c>
      <c r="C1067" s="9" t="s">
        <v>102</v>
      </c>
      <c r="D1067" s="9">
        <v>1372</v>
      </c>
    </row>
    <row r="1068" spans="1:4" x14ac:dyDescent="0.3">
      <c r="A1068" s="9" t="s">
        <v>21</v>
      </c>
      <c r="B1068" s="9" t="s">
        <v>67</v>
      </c>
      <c r="C1068" s="9" t="s">
        <v>102</v>
      </c>
      <c r="D1068" s="9">
        <v>67</v>
      </c>
    </row>
    <row r="1069" spans="1:4" x14ac:dyDescent="0.3">
      <c r="A1069" s="9" t="s">
        <v>21</v>
      </c>
      <c r="B1069" s="9" t="s">
        <v>68</v>
      </c>
      <c r="C1069" s="9" t="s">
        <v>102</v>
      </c>
      <c r="D1069" s="9">
        <v>68</v>
      </c>
    </row>
    <row r="1070" spans="1:4" x14ac:dyDescent="0.3">
      <c r="A1070" s="9" t="s">
        <v>21</v>
      </c>
      <c r="B1070" s="9" t="s">
        <v>69</v>
      </c>
      <c r="C1070" s="9" t="s">
        <v>102</v>
      </c>
      <c r="D1070" s="9">
        <v>183</v>
      </c>
    </row>
    <row r="1071" spans="1:4" x14ac:dyDescent="0.3">
      <c r="A1071" s="9" t="s">
        <v>21</v>
      </c>
      <c r="B1071" s="9" t="s">
        <v>70</v>
      </c>
      <c r="C1071" s="9" t="s">
        <v>102</v>
      </c>
      <c r="D1071" s="9">
        <v>1</v>
      </c>
    </row>
    <row r="1072" spans="1:4" x14ac:dyDescent="0.3">
      <c r="A1072" s="9" t="s">
        <v>21</v>
      </c>
      <c r="B1072" s="9" t="s">
        <v>75</v>
      </c>
      <c r="C1072" s="9" t="s">
        <v>103</v>
      </c>
      <c r="D1072" s="9">
        <v>6</v>
      </c>
    </row>
    <row r="1073" spans="1:4" x14ac:dyDescent="0.3">
      <c r="A1073" s="9" t="s">
        <v>22</v>
      </c>
      <c r="B1073" s="9" t="s">
        <v>88</v>
      </c>
      <c r="C1073" s="9" t="s">
        <v>92</v>
      </c>
      <c r="D1073" s="9">
        <v>1</v>
      </c>
    </row>
    <row r="1074" spans="1:4" x14ac:dyDescent="0.3">
      <c r="A1074" s="9" t="s">
        <v>22</v>
      </c>
      <c r="B1074" s="9" t="s">
        <v>38</v>
      </c>
      <c r="C1074" s="9" t="s">
        <v>93</v>
      </c>
      <c r="D1074" s="9">
        <v>0</v>
      </c>
    </row>
    <row r="1075" spans="1:4" x14ac:dyDescent="0.3">
      <c r="A1075" s="9" t="s">
        <v>22</v>
      </c>
      <c r="B1075" s="9" t="s">
        <v>87</v>
      </c>
      <c r="C1075" s="9" t="s">
        <v>94</v>
      </c>
      <c r="D1075" s="9">
        <v>2</v>
      </c>
    </row>
    <row r="1076" spans="1:4" x14ac:dyDescent="0.3">
      <c r="A1076" s="9" t="s">
        <v>22</v>
      </c>
      <c r="B1076" s="9" t="s">
        <v>86</v>
      </c>
      <c r="C1076" s="9" t="s">
        <v>86</v>
      </c>
      <c r="D1076" s="9">
        <v>0</v>
      </c>
    </row>
    <row r="1077" spans="1:4" x14ac:dyDescent="0.3">
      <c r="A1077" s="9" t="s">
        <v>22</v>
      </c>
      <c r="B1077" s="9" t="s">
        <v>85</v>
      </c>
      <c r="C1077" s="9" t="s">
        <v>85</v>
      </c>
      <c r="D1077" s="9">
        <v>0</v>
      </c>
    </row>
    <row r="1078" spans="1:4" x14ac:dyDescent="0.3">
      <c r="A1078" s="9" t="s">
        <v>22</v>
      </c>
      <c r="B1078" s="9" t="s">
        <v>84</v>
      </c>
      <c r="C1078" s="9" t="s">
        <v>85</v>
      </c>
      <c r="D1078" s="9">
        <v>0</v>
      </c>
    </row>
    <row r="1079" spans="1:4" x14ac:dyDescent="0.3">
      <c r="A1079" s="9" t="s">
        <v>22</v>
      </c>
      <c r="B1079" s="9" t="s">
        <v>83</v>
      </c>
      <c r="C1079" s="9" t="s">
        <v>95</v>
      </c>
      <c r="D1079" s="9">
        <v>1</v>
      </c>
    </row>
    <row r="1080" spans="1:4" x14ac:dyDescent="0.3">
      <c r="A1080" s="9" t="s">
        <v>22</v>
      </c>
      <c r="B1080" s="9" t="s">
        <v>39</v>
      </c>
      <c r="C1080" s="9" t="s">
        <v>40</v>
      </c>
      <c r="D1080" s="9">
        <v>15</v>
      </c>
    </row>
    <row r="1081" spans="1:4" x14ac:dyDescent="0.3">
      <c r="A1081" s="9" t="s">
        <v>22</v>
      </c>
      <c r="B1081" s="9" t="s">
        <v>40</v>
      </c>
      <c r="C1081" s="9" t="s">
        <v>40</v>
      </c>
      <c r="D1081" s="9">
        <v>14</v>
      </c>
    </row>
    <row r="1082" spans="1:4" x14ac:dyDescent="0.3">
      <c r="A1082" s="9" t="s">
        <v>22</v>
      </c>
      <c r="B1082" s="9" t="s">
        <v>41</v>
      </c>
      <c r="C1082" s="9" t="s">
        <v>40</v>
      </c>
      <c r="D1082" s="9">
        <v>0</v>
      </c>
    </row>
    <row r="1083" spans="1:4" x14ac:dyDescent="0.3">
      <c r="A1083" s="9" t="s">
        <v>22</v>
      </c>
      <c r="B1083" s="9" t="s">
        <v>42</v>
      </c>
      <c r="C1083" s="9" t="s">
        <v>40</v>
      </c>
      <c r="D1083" s="9">
        <v>0</v>
      </c>
    </row>
    <row r="1084" spans="1:4" x14ac:dyDescent="0.3">
      <c r="A1084" s="9" t="s">
        <v>22</v>
      </c>
      <c r="B1084" s="9" t="s">
        <v>43</v>
      </c>
      <c r="C1084" s="9" t="s">
        <v>40</v>
      </c>
      <c r="D1084" s="9">
        <v>1</v>
      </c>
    </row>
    <row r="1085" spans="1:4" x14ac:dyDescent="0.3">
      <c r="A1085" s="9" t="s">
        <v>22</v>
      </c>
      <c r="B1085" s="9" t="s">
        <v>44</v>
      </c>
      <c r="C1085" s="9" t="s">
        <v>40</v>
      </c>
      <c r="D1085" s="9">
        <v>0</v>
      </c>
    </row>
    <row r="1086" spans="1:4" x14ac:dyDescent="0.3">
      <c r="A1086" s="9" t="s">
        <v>22</v>
      </c>
      <c r="B1086" s="9" t="s">
        <v>45</v>
      </c>
      <c r="C1086" s="9" t="s">
        <v>40</v>
      </c>
      <c r="D1086" s="9">
        <v>1</v>
      </c>
    </row>
    <row r="1087" spans="1:4" x14ac:dyDescent="0.3">
      <c r="A1087" s="9" t="s">
        <v>22</v>
      </c>
      <c r="B1087" s="9" t="s">
        <v>71</v>
      </c>
      <c r="C1087" s="9" t="s">
        <v>40</v>
      </c>
      <c r="D1087" s="9">
        <v>0</v>
      </c>
    </row>
    <row r="1088" spans="1:4" x14ac:dyDescent="0.3">
      <c r="A1088" s="9" t="s">
        <v>22</v>
      </c>
      <c r="B1088" s="9" t="s">
        <v>72</v>
      </c>
      <c r="C1088" s="9" t="s">
        <v>40</v>
      </c>
      <c r="D1088" s="9">
        <v>0</v>
      </c>
    </row>
    <row r="1089" spans="1:4" x14ac:dyDescent="0.3">
      <c r="A1089" s="9" t="s">
        <v>22</v>
      </c>
      <c r="B1089" s="9" t="s">
        <v>82</v>
      </c>
      <c r="C1089" s="9" t="s">
        <v>40</v>
      </c>
      <c r="D1089" s="9">
        <v>0</v>
      </c>
    </row>
    <row r="1090" spans="1:4" x14ac:dyDescent="0.3">
      <c r="A1090" s="9" t="s">
        <v>22</v>
      </c>
      <c r="B1090" s="9" t="s">
        <v>81</v>
      </c>
      <c r="C1090" s="9" t="s">
        <v>81</v>
      </c>
      <c r="D1090" s="9">
        <v>0</v>
      </c>
    </row>
    <row r="1091" spans="1:4" x14ac:dyDescent="0.3">
      <c r="A1091" s="9" t="s">
        <v>22</v>
      </c>
      <c r="B1091" s="9" t="s">
        <v>73</v>
      </c>
      <c r="C1091" s="9" t="s">
        <v>81</v>
      </c>
      <c r="D1091" s="9">
        <v>0</v>
      </c>
    </row>
    <row r="1092" spans="1:4" x14ac:dyDescent="0.3">
      <c r="A1092" s="9" t="s">
        <v>22</v>
      </c>
      <c r="B1092" s="9" t="s">
        <v>80</v>
      </c>
      <c r="C1092" s="9" t="s">
        <v>81</v>
      </c>
      <c r="D1092" s="9">
        <v>0</v>
      </c>
    </row>
    <row r="1093" spans="1:4" x14ac:dyDescent="0.3">
      <c r="A1093" s="9" t="s">
        <v>22</v>
      </c>
      <c r="B1093" s="9" t="s">
        <v>79</v>
      </c>
      <c r="C1093" s="9" t="s">
        <v>96</v>
      </c>
      <c r="D1093" s="9">
        <v>9</v>
      </c>
    </row>
    <row r="1094" spans="1:4" x14ac:dyDescent="0.3">
      <c r="A1094" s="9" t="s">
        <v>22</v>
      </c>
      <c r="B1094" s="9" t="s">
        <v>46</v>
      </c>
      <c r="C1094" s="9" t="s">
        <v>96</v>
      </c>
      <c r="D1094" s="9">
        <v>9</v>
      </c>
    </row>
    <row r="1095" spans="1:4" x14ac:dyDescent="0.3">
      <c r="A1095" s="9" t="s">
        <v>22</v>
      </c>
      <c r="B1095" s="9" t="s">
        <v>47</v>
      </c>
      <c r="C1095" s="9" t="s">
        <v>96</v>
      </c>
      <c r="D1095" s="9">
        <v>0</v>
      </c>
    </row>
    <row r="1096" spans="1:4" x14ac:dyDescent="0.3">
      <c r="A1096" s="9" t="s">
        <v>22</v>
      </c>
      <c r="B1096" s="9" t="s">
        <v>48</v>
      </c>
      <c r="C1096" s="9" t="s">
        <v>97</v>
      </c>
      <c r="D1096" s="9">
        <v>0</v>
      </c>
    </row>
    <row r="1097" spans="1:4" x14ac:dyDescent="0.3">
      <c r="A1097" s="9" t="s">
        <v>22</v>
      </c>
      <c r="B1097" s="9" t="s">
        <v>49</v>
      </c>
      <c r="C1097" s="9" t="s">
        <v>97</v>
      </c>
      <c r="D1097" s="9">
        <v>0</v>
      </c>
    </row>
    <row r="1098" spans="1:4" x14ac:dyDescent="0.3">
      <c r="A1098" s="9" t="s">
        <v>22</v>
      </c>
      <c r="B1098" s="9" t="s">
        <v>50</v>
      </c>
      <c r="C1098" s="9" t="s">
        <v>97</v>
      </c>
      <c r="D1098" s="9">
        <v>0</v>
      </c>
    </row>
    <row r="1099" spans="1:4" x14ac:dyDescent="0.3">
      <c r="A1099" s="9" t="s">
        <v>22</v>
      </c>
      <c r="B1099" s="9" t="s">
        <v>51</v>
      </c>
      <c r="C1099" s="9" t="s">
        <v>99</v>
      </c>
      <c r="D1099" s="9">
        <v>16</v>
      </c>
    </row>
    <row r="1100" spans="1:4" x14ac:dyDescent="0.3">
      <c r="A1100" s="9" t="s">
        <v>22</v>
      </c>
      <c r="B1100" s="9" t="s">
        <v>52</v>
      </c>
      <c r="C1100" s="9" t="s">
        <v>99</v>
      </c>
      <c r="D1100" s="9">
        <v>16</v>
      </c>
    </row>
    <row r="1101" spans="1:4" x14ac:dyDescent="0.3">
      <c r="A1101" s="9" t="s">
        <v>22</v>
      </c>
      <c r="B1101" s="9" t="s">
        <v>53</v>
      </c>
      <c r="C1101" s="9" t="s">
        <v>99</v>
      </c>
      <c r="D1101" s="9">
        <v>0</v>
      </c>
    </row>
    <row r="1102" spans="1:4" x14ac:dyDescent="0.3">
      <c r="A1102" s="9" t="s">
        <v>22</v>
      </c>
      <c r="B1102" s="9" t="s">
        <v>54</v>
      </c>
      <c r="C1102" s="9" t="s">
        <v>98</v>
      </c>
      <c r="D1102" s="9">
        <v>0</v>
      </c>
    </row>
    <row r="1103" spans="1:4" x14ac:dyDescent="0.3">
      <c r="A1103" s="9" t="s">
        <v>22</v>
      </c>
      <c r="B1103" s="9" t="s">
        <v>55</v>
      </c>
      <c r="C1103" s="9" t="s">
        <v>98</v>
      </c>
      <c r="D1103" s="9">
        <v>0</v>
      </c>
    </row>
    <row r="1104" spans="1:4" x14ac:dyDescent="0.3">
      <c r="A1104" s="9" t="s">
        <v>22</v>
      </c>
      <c r="B1104" s="9" t="s">
        <v>56</v>
      </c>
      <c r="C1104" s="9" t="s">
        <v>98</v>
      </c>
      <c r="D1104" s="9">
        <v>0</v>
      </c>
    </row>
    <row r="1105" spans="1:4" x14ac:dyDescent="0.3">
      <c r="A1105" s="9" t="s">
        <v>22</v>
      </c>
      <c r="B1105" s="9" t="s">
        <v>74</v>
      </c>
      <c r="C1105" s="9" t="s">
        <v>74</v>
      </c>
      <c r="D1105" s="9">
        <v>0</v>
      </c>
    </row>
    <row r="1106" spans="1:4" x14ac:dyDescent="0.3">
      <c r="A1106" s="9" t="s">
        <v>22</v>
      </c>
      <c r="B1106" s="9" t="s">
        <v>57</v>
      </c>
      <c r="C1106" s="9" t="s">
        <v>100</v>
      </c>
      <c r="D1106" s="9">
        <v>0</v>
      </c>
    </row>
    <row r="1107" spans="1:4" x14ac:dyDescent="0.3">
      <c r="A1107" s="9" t="s">
        <v>22</v>
      </c>
      <c r="B1107" s="9" t="s">
        <v>76</v>
      </c>
      <c r="C1107" s="9" t="s">
        <v>100</v>
      </c>
      <c r="D1107" s="9">
        <v>0</v>
      </c>
    </row>
    <row r="1108" spans="1:4" x14ac:dyDescent="0.3">
      <c r="A1108" s="9" t="s">
        <v>22</v>
      </c>
      <c r="B1108" s="9" t="s">
        <v>58</v>
      </c>
      <c r="C1108" s="9" t="s">
        <v>100</v>
      </c>
      <c r="D1108" s="9">
        <v>0</v>
      </c>
    </row>
    <row r="1109" spans="1:4" x14ac:dyDescent="0.3">
      <c r="A1109" s="9" t="s">
        <v>22</v>
      </c>
      <c r="B1109" s="9" t="s">
        <v>59</v>
      </c>
      <c r="C1109" s="9" t="s">
        <v>100</v>
      </c>
      <c r="D1109" s="9">
        <v>0</v>
      </c>
    </row>
    <row r="1110" spans="1:4" x14ac:dyDescent="0.3">
      <c r="A1110" s="9" t="s">
        <v>22</v>
      </c>
      <c r="B1110" s="9" t="s">
        <v>60</v>
      </c>
      <c r="C1110" s="9" t="s">
        <v>100</v>
      </c>
      <c r="D1110" s="9">
        <v>0</v>
      </c>
    </row>
    <row r="1111" spans="1:4" x14ac:dyDescent="0.3">
      <c r="A1111" s="9" t="s">
        <v>22</v>
      </c>
      <c r="B1111" s="9" t="s">
        <v>61</v>
      </c>
      <c r="C1111" s="9" t="s">
        <v>100</v>
      </c>
      <c r="D1111" s="9">
        <v>0</v>
      </c>
    </row>
    <row r="1112" spans="1:4" x14ac:dyDescent="0.3">
      <c r="A1112" s="9" t="s">
        <v>22</v>
      </c>
      <c r="B1112" s="9" t="s">
        <v>78</v>
      </c>
      <c r="C1112" s="9" t="s">
        <v>95</v>
      </c>
      <c r="D1112" s="9">
        <v>0</v>
      </c>
    </row>
    <row r="1113" spans="1:4" x14ac:dyDescent="0.3">
      <c r="A1113" s="9" t="s">
        <v>22</v>
      </c>
      <c r="B1113" s="9" t="s">
        <v>62</v>
      </c>
      <c r="C1113" s="9" t="s">
        <v>101</v>
      </c>
      <c r="D1113" s="9">
        <v>4</v>
      </c>
    </row>
    <row r="1114" spans="1:4" x14ac:dyDescent="0.3">
      <c r="A1114" s="9" t="s">
        <v>22</v>
      </c>
      <c r="B1114" s="9" t="s">
        <v>63</v>
      </c>
      <c r="C1114" s="9" t="s">
        <v>101</v>
      </c>
      <c r="D1114" s="9">
        <v>4</v>
      </c>
    </row>
    <row r="1115" spans="1:4" x14ac:dyDescent="0.3">
      <c r="A1115" s="9" t="s">
        <v>22</v>
      </c>
      <c r="B1115" s="9" t="s">
        <v>64</v>
      </c>
      <c r="C1115" s="9" t="s">
        <v>101</v>
      </c>
      <c r="D1115" s="9">
        <v>0</v>
      </c>
    </row>
    <row r="1116" spans="1:4" x14ac:dyDescent="0.3">
      <c r="A1116" s="9" t="s">
        <v>22</v>
      </c>
      <c r="B1116" s="9" t="s">
        <v>77</v>
      </c>
      <c r="C1116" s="9" t="s">
        <v>102</v>
      </c>
      <c r="D1116" s="9">
        <v>86</v>
      </c>
    </row>
    <row r="1117" spans="1:4" x14ac:dyDescent="0.3">
      <c r="A1117" s="9" t="s">
        <v>22</v>
      </c>
      <c r="B1117" s="9" t="s">
        <v>65</v>
      </c>
      <c r="C1117" s="9" t="s">
        <v>102</v>
      </c>
      <c r="D1117" s="9">
        <v>65</v>
      </c>
    </row>
    <row r="1118" spans="1:4" x14ac:dyDescent="0.3">
      <c r="A1118" s="9" t="s">
        <v>22</v>
      </c>
      <c r="B1118" s="9" t="s">
        <v>66</v>
      </c>
      <c r="C1118" s="9" t="s">
        <v>102</v>
      </c>
      <c r="D1118" s="9">
        <v>18</v>
      </c>
    </row>
    <row r="1119" spans="1:4" x14ac:dyDescent="0.3">
      <c r="A1119" s="9" t="s">
        <v>22</v>
      </c>
      <c r="B1119" s="9" t="s">
        <v>67</v>
      </c>
      <c r="C1119" s="9" t="s">
        <v>102</v>
      </c>
      <c r="D1119" s="9">
        <v>3</v>
      </c>
    </row>
    <row r="1120" spans="1:4" x14ac:dyDescent="0.3">
      <c r="A1120" s="9" t="s">
        <v>22</v>
      </c>
      <c r="B1120" s="9" t="s">
        <v>68</v>
      </c>
      <c r="C1120" s="9" t="s">
        <v>102</v>
      </c>
      <c r="D1120" s="9">
        <v>0</v>
      </c>
    </row>
    <row r="1121" spans="1:4" x14ac:dyDescent="0.3">
      <c r="A1121" s="9" t="s">
        <v>22</v>
      </c>
      <c r="B1121" s="9" t="s">
        <v>69</v>
      </c>
      <c r="C1121" s="9" t="s">
        <v>102</v>
      </c>
      <c r="D1121" s="9">
        <v>0</v>
      </c>
    </row>
    <row r="1122" spans="1:4" x14ac:dyDescent="0.3">
      <c r="A1122" s="9" t="s">
        <v>22</v>
      </c>
      <c r="B1122" s="9" t="s">
        <v>70</v>
      </c>
      <c r="C1122" s="9" t="s">
        <v>102</v>
      </c>
      <c r="D1122" s="9">
        <v>0</v>
      </c>
    </row>
    <row r="1123" spans="1:4" x14ac:dyDescent="0.3">
      <c r="A1123" s="9" t="s">
        <v>22</v>
      </c>
      <c r="B1123" s="9" t="s">
        <v>75</v>
      </c>
      <c r="C1123" s="9" t="s">
        <v>103</v>
      </c>
      <c r="D1123" s="9">
        <v>0</v>
      </c>
    </row>
    <row r="1124" spans="1:4" x14ac:dyDescent="0.3">
      <c r="A1124" s="9" t="s">
        <v>23</v>
      </c>
      <c r="B1124" s="9" t="s">
        <v>88</v>
      </c>
      <c r="C1124" s="9" t="s">
        <v>92</v>
      </c>
      <c r="D1124" s="9">
        <v>9</v>
      </c>
    </row>
    <row r="1125" spans="1:4" x14ac:dyDescent="0.3">
      <c r="A1125" s="9" t="s">
        <v>23</v>
      </c>
      <c r="B1125" s="9" t="s">
        <v>38</v>
      </c>
      <c r="C1125" s="9" t="s">
        <v>93</v>
      </c>
      <c r="D1125" s="9">
        <v>11</v>
      </c>
    </row>
    <row r="1126" spans="1:4" x14ac:dyDescent="0.3">
      <c r="A1126" s="9" t="s">
        <v>23</v>
      </c>
      <c r="B1126" s="9" t="s">
        <v>87</v>
      </c>
      <c r="C1126" s="9" t="s">
        <v>94</v>
      </c>
      <c r="D1126" s="9">
        <v>143</v>
      </c>
    </row>
    <row r="1127" spans="1:4" x14ac:dyDescent="0.3">
      <c r="A1127" s="9" t="s">
        <v>23</v>
      </c>
      <c r="B1127" s="9" t="s">
        <v>86</v>
      </c>
      <c r="C1127" s="9" t="s">
        <v>86</v>
      </c>
      <c r="D1127" s="9">
        <v>2</v>
      </c>
    </row>
    <row r="1128" spans="1:4" x14ac:dyDescent="0.3">
      <c r="A1128" s="9" t="s">
        <v>23</v>
      </c>
      <c r="B1128" s="9" t="s">
        <v>85</v>
      </c>
      <c r="C1128" s="9" t="s">
        <v>85</v>
      </c>
      <c r="D1128" s="9">
        <v>3</v>
      </c>
    </row>
    <row r="1129" spans="1:4" x14ac:dyDescent="0.3">
      <c r="A1129" s="9" t="s">
        <v>23</v>
      </c>
      <c r="B1129" s="9" t="s">
        <v>84</v>
      </c>
      <c r="C1129" s="9" t="s">
        <v>85</v>
      </c>
      <c r="D1129" s="9">
        <v>0</v>
      </c>
    </row>
    <row r="1130" spans="1:4" x14ac:dyDescent="0.3">
      <c r="A1130" s="9" t="s">
        <v>23</v>
      </c>
      <c r="B1130" s="9" t="s">
        <v>83</v>
      </c>
      <c r="C1130" s="9" t="s">
        <v>95</v>
      </c>
      <c r="D1130" s="9">
        <v>1017</v>
      </c>
    </row>
    <row r="1131" spans="1:4" x14ac:dyDescent="0.3">
      <c r="A1131" s="9" t="s">
        <v>23</v>
      </c>
      <c r="B1131" s="9" t="s">
        <v>39</v>
      </c>
      <c r="C1131" s="9" t="s">
        <v>40</v>
      </c>
      <c r="D1131" s="9">
        <v>290</v>
      </c>
    </row>
    <row r="1132" spans="1:4" x14ac:dyDescent="0.3">
      <c r="A1132" s="9" t="s">
        <v>23</v>
      </c>
      <c r="B1132" s="9" t="s">
        <v>40</v>
      </c>
      <c r="C1132" s="9" t="s">
        <v>40</v>
      </c>
      <c r="D1132" s="9">
        <v>57</v>
      </c>
    </row>
    <row r="1133" spans="1:4" x14ac:dyDescent="0.3">
      <c r="A1133" s="9" t="s">
        <v>23</v>
      </c>
      <c r="B1133" s="9" t="s">
        <v>41</v>
      </c>
      <c r="C1133" s="9" t="s">
        <v>40</v>
      </c>
      <c r="D1133" s="9">
        <v>0</v>
      </c>
    </row>
    <row r="1134" spans="1:4" x14ac:dyDescent="0.3">
      <c r="A1134" s="9" t="s">
        <v>23</v>
      </c>
      <c r="B1134" s="9" t="s">
        <v>42</v>
      </c>
      <c r="C1134" s="9" t="s">
        <v>40</v>
      </c>
      <c r="D1134" s="9">
        <v>5</v>
      </c>
    </row>
    <row r="1135" spans="1:4" x14ac:dyDescent="0.3">
      <c r="A1135" s="9" t="s">
        <v>23</v>
      </c>
      <c r="B1135" s="9" t="s">
        <v>43</v>
      </c>
      <c r="C1135" s="9" t="s">
        <v>40</v>
      </c>
      <c r="D1135" s="9">
        <v>193</v>
      </c>
    </row>
    <row r="1136" spans="1:4" x14ac:dyDescent="0.3">
      <c r="A1136" s="9" t="s">
        <v>23</v>
      </c>
      <c r="B1136" s="9" t="s">
        <v>44</v>
      </c>
      <c r="C1136" s="9" t="s">
        <v>40</v>
      </c>
      <c r="D1136" s="9">
        <v>92</v>
      </c>
    </row>
    <row r="1137" spans="1:4" x14ac:dyDescent="0.3">
      <c r="A1137" s="9" t="s">
        <v>23</v>
      </c>
      <c r="B1137" s="9" t="s">
        <v>45</v>
      </c>
      <c r="C1137" s="9" t="s">
        <v>40</v>
      </c>
      <c r="D1137" s="9">
        <v>101</v>
      </c>
    </row>
    <row r="1138" spans="1:4" x14ac:dyDescent="0.3">
      <c r="A1138" s="9" t="s">
        <v>23</v>
      </c>
      <c r="B1138" s="9" t="s">
        <v>71</v>
      </c>
      <c r="C1138" s="9" t="s">
        <v>40</v>
      </c>
      <c r="D1138" s="9">
        <v>28</v>
      </c>
    </row>
    <row r="1139" spans="1:4" x14ac:dyDescent="0.3">
      <c r="A1139" s="9" t="s">
        <v>23</v>
      </c>
      <c r="B1139" s="9" t="s">
        <v>72</v>
      </c>
      <c r="C1139" s="9" t="s">
        <v>40</v>
      </c>
      <c r="D1139" s="9">
        <v>0</v>
      </c>
    </row>
    <row r="1140" spans="1:4" x14ac:dyDescent="0.3">
      <c r="A1140" s="9" t="s">
        <v>23</v>
      </c>
      <c r="B1140" s="9" t="s">
        <v>82</v>
      </c>
      <c r="C1140" s="9" t="s">
        <v>40</v>
      </c>
      <c r="D1140" s="9">
        <v>7</v>
      </c>
    </row>
    <row r="1141" spans="1:4" x14ac:dyDescent="0.3">
      <c r="A1141" s="9" t="s">
        <v>23</v>
      </c>
      <c r="B1141" s="9" t="s">
        <v>81</v>
      </c>
      <c r="C1141" s="9" t="s">
        <v>81</v>
      </c>
      <c r="D1141" s="9">
        <v>2</v>
      </c>
    </row>
    <row r="1142" spans="1:4" x14ac:dyDescent="0.3">
      <c r="A1142" s="9" t="s">
        <v>23</v>
      </c>
      <c r="B1142" s="9" t="s">
        <v>73</v>
      </c>
      <c r="C1142" s="9" t="s">
        <v>81</v>
      </c>
      <c r="D1142" s="9">
        <v>0</v>
      </c>
    </row>
    <row r="1143" spans="1:4" x14ac:dyDescent="0.3">
      <c r="A1143" s="9" t="s">
        <v>23</v>
      </c>
      <c r="B1143" s="9" t="s">
        <v>80</v>
      </c>
      <c r="C1143" s="9" t="s">
        <v>81</v>
      </c>
      <c r="D1143" s="9">
        <v>0</v>
      </c>
    </row>
    <row r="1144" spans="1:4" x14ac:dyDescent="0.3">
      <c r="A1144" s="9" t="s">
        <v>23</v>
      </c>
      <c r="B1144" s="9" t="s">
        <v>79</v>
      </c>
      <c r="C1144" s="9" t="s">
        <v>96</v>
      </c>
      <c r="D1144" s="9">
        <v>365</v>
      </c>
    </row>
    <row r="1145" spans="1:4" x14ac:dyDescent="0.3">
      <c r="A1145" s="9" t="s">
        <v>23</v>
      </c>
      <c r="B1145" s="9" t="s">
        <v>46</v>
      </c>
      <c r="C1145" s="9" t="s">
        <v>96</v>
      </c>
      <c r="D1145" s="9">
        <v>365</v>
      </c>
    </row>
    <row r="1146" spans="1:4" x14ac:dyDescent="0.3">
      <c r="A1146" s="9" t="s">
        <v>23</v>
      </c>
      <c r="B1146" s="9" t="s">
        <v>47</v>
      </c>
      <c r="C1146" s="9" t="s">
        <v>96</v>
      </c>
      <c r="D1146" s="9">
        <v>0</v>
      </c>
    </row>
    <row r="1147" spans="1:4" x14ac:dyDescent="0.3">
      <c r="A1147" s="9" t="s">
        <v>23</v>
      </c>
      <c r="B1147" s="9" t="s">
        <v>48</v>
      </c>
      <c r="C1147" s="9" t="s">
        <v>97</v>
      </c>
      <c r="D1147" s="9">
        <v>41</v>
      </c>
    </row>
    <row r="1148" spans="1:4" x14ac:dyDescent="0.3">
      <c r="A1148" s="9" t="s">
        <v>23</v>
      </c>
      <c r="B1148" s="9" t="s">
        <v>49</v>
      </c>
      <c r="C1148" s="9" t="s">
        <v>97</v>
      </c>
      <c r="D1148" s="9">
        <v>41</v>
      </c>
    </row>
    <row r="1149" spans="1:4" x14ac:dyDescent="0.3">
      <c r="A1149" s="9" t="s">
        <v>23</v>
      </c>
      <c r="B1149" s="9" t="s">
        <v>50</v>
      </c>
      <c r="C1149" s="9" t="s">
        <v>97</v>
      </c>
      <c r="D1149" s="9">
        <v>0</v>
      </c>
    </row>
    <row r="1150" spans="1:4" x14ac:dyDescent="0.3">
      <c r="A1150" s="9" t="s">
        <v>23</v>
      </c>
      <c r="B1150" s="9" t="s">
        <v>51</v>
      </c>
      <c r="C1150" s="9" t="s">
        <v>99</v>
      </c>
      <c r="D1150" s="9">
        <v>1650</v>
      </c>
    </row>
    <row r="1151" spans="1:4" x14ac:dyDescent="0.3">
      <c r="A1151" s="9" t="s">
        <v>23</v>
      </c>
      <c r="B1151" s="9" t="s">
        <v>52</v>
      </c>
      <c r="C1151" s="9" t="s">
        <v>99</v>
      </c>
      <c r="D1151" s="9">
        <v>1641</v>
      </c>
    </row>
    <row r="1152" spans="1:4" x14ac:dyDescent="0.3">
      <c r="A1152" s="9" t="s">
        <v>23</v>
      </c>
      <c r="B1152" s="9" t="s">
        <v>53</v>
      </c>
      <c r="C1152" s="9" t="s">
        <v>99</v>
      </c>
      <c r="D1152" s="9">
        <v>9</v>
      </c>
    </row>
    <row r="1153" spans="1:4" x14ac:dyDescent="0.3">
      <c r="A1153" s="9" t="s">
        <v>23</v>
      </c>
      <c r="B1153" s="9" t="s">
        <v>54</v>
      </c>
      <c r="C1153" s="9" t="s">
        <v>98</v>
      </c>
      <c r="D1153" s="9">
        <v>46</v>
      </c>
    </row>
    <row r="1154" spans="1:4" x14ac:dyDescent="0.3">
      <c r="A1154" s="9" t="s">
        <v>23</v>
      </c>
      <c r="B1154" s="9" t="s">
        <v>55</v>
      </c>
      <c r="C1154" s="9" t="s">
        <v>98</v>
      </c>
      <c r="D1154" s="9">
        <v>46</v>
      </c>
    </row>
    <row r="1155" spans="1:4" x14ac:dyDescent="0.3">
      <c r="A1155" s="9" t="s">
        <v>23</v>
      </c>
      <c r="B1155" s="9" t="s">
        <v>56</v>
      </c>
      <c r="C1155" s="9" t="s">
        <v>98</v>
      </c>
      <c r="D1155" s="9">
        <v>0</v>
      </c>
    </row>
    <row r="1156" spans="1:4" x14ac:dyDescent="0.3">
      <c r="A1156" s="9" t="s">
        <v>23</v>
      </c>
      <c r="B1156" s="9" t="s">
        <v>74</v>
      </c>
      <c r="C1156" s="9" t="s">
        <v>74</v>
      </c>
      <c r="D1156" s="9">
        <v>144</v>
      </c>
    </row>
    <row r="1157" spans="1:4" x14ac:dyDescent="0.3">
      <c r="A1157" s="9" t="s">
        <v>23</v>
      </c>
      <c r="B1157" s="9" t="s">
        <v>57</v>
      </c>
      <c r="C1157" s="9" t="s">
        <v>100</v>
      </c>
      <c r="D1157" s="9">
        <v>619</v>
      </c>
    </row>
    <row r="1158" spans="1:4" x14ac:dyDescent="0.3">
      <c r="A1158" s="9" t="s">
        <v>23</v>
      </c>
      <c r="B1158" s="9" t="s">
        <v>76</v>
      </c>
      <c r="C1158" s="9" t="s">
        <v>100</v>
      </c>
      <c r="D1158" s="9">
        <v>147</v>
      </c>
    </row>
    <row r="1159" spans="1:4" x14ac:dyDescent="0.3">
      <c r="A1159" s="9" t="s">
        <v>23</v>
      </c>
      <c r="B1159" s="9" t="s">
        <v>58</v>
      </c>
      <c r="C1159" s="9" t="s">
        <v>100</v>
      </c>
      <c r="D1159" s="9">
        <v>81</v>
      </c>
    </row>
    <row r="1160" spans="1:4" x14ac:dyDescent="0.3">
      <c r="A1160" s="9" t="s">
        <v>23</v>
      </c>
      <c r="B1160" s="9" t="s">
        <v>59</v>
      </c>
      <c r="C1160" s="9" t="s">
        <v>100</v>
      </c>
      <c r="D1160" s="9">
        <v>38</v>
      </c>
    </row>
    <row r="1161" spans="1:4" x14ac:dyDescent="0.3">
      <c r="A1161" s="9" t="s">
        <v>23</v>
      </c>
      <c r="B1161" s="9" t="s">
        <v>60</v>
      </c>
      <c r="C1161" s="9" t="s">
        <v>100</v>
      </c>
      <c r="D1161" s="9">
        <v>32</v>
      </c>
    </row>
    <row r="1162" spans="1:4" x14ac:dyDescent="0.3">
      <c r="A1162" s="9" t="s">
        <v>23</v>
      </c>
      <c r="B1162" s="9" t="s">
        <v>61</v>
      </c>
      <c r="C1162" s="9" t="s">
        <v>100</v>
      </c>
      <c r="D1162" s="9">
        <v>321</v>
      </c>
    </row>
    <row r="1163" spans="1:4" x14ac:dyDescent="0.3">
      <c r="A1163" s="9" t="s">
        <v>23</v>
      </c>
      <c r="B1163" s="9" t="s">
        <v>78</v>
      </c>
      <c r="C1163" s="9" t="s">
        <v>95</v>
      </c>
      <c r="D1163" s="9">
        <v>4</v>
      </c>
    </row>
    <row r="1164" spans="1:4" x14ac:dyDescent="0.3">
      <c r="A1164" s="9" t="s">
        <v>23</v>
      </c>
      <c r="B1164" s="9" t="s">
        <v>62</v>
      </c>
      <c r="C1164" s="9" t="s">
        <v>101</v>
      </c>
      <c r="D1164" s="9">
        <v>91</v>
      </c>
    </row>
    <row r="1165" spans="1:4" x14ac:dyDescent="0.3">
      <c r="A1165" s="9" t="s">
        <v>23</v>
      </c>
      <c r="B1165" s="9" t="s">
        <v>63</v>
      </c>
      <c r="C1165" s="9" t="s">
        <v>101</v>
      </c>
      <c r="D1165" s="9">
        <v>76</v>
      </c>
    </row>
    <row r="1166" spans="1:4" x14ac:dyDescent="0.3">
      <c r="A1166" s="9" t="s">
        <v>23</v>
      </c>
      <c r="B1166" s="9" t="s">
        <v>64</v>
      </c>
      <c r="C1166" s="9" t="s">
        <v>101</v>
      </c>
      <c r="D1166" s="9">
        <v>15</v>
      </c>
    </row>
    <row r="1167" spans="1:4" x14ac:dyDescent="0.3">
      <c r="A1167" s="9" t="s">
        <v>23</v>
      </c>
      <c r="B1167" s="9" t="s">
        <v>77</v>
      </c>
      <c r="C1167" s="9" t="s">
        <v>102</v>
      </c>
      <c r="D1167" s="9">
        <v>4505</v>
      </c>
    </row>
    <row r="1168" spans="1:4" x14ac:dyDescent="0.3">
      <c r="A1168" s="9" t="s">
        <v>23</v>
      </c>
      <c r="B1168" s="9" t="s">
        <v>65</v>
      </c>
      <c r="C1168" s="9" t="s">
        <v>102</v>
      </c>
      <c r="D1168" s="9">
        <v>3347</v>
      </c>
    </row>
    <row r="1169" spans="1:4" x14ac:dyDescent="0.3">
      <c r="A1169" s="9" t="s">
        <v>23</v>
      </c>
      <c r="B1169" s="9" t="s">
        <v>66</v>
      </c>
      <c r="C1169" s="9" t="s">
        <v>102</v>
      </c>
      <c r="D1169" s="9">
        <v>857</v>
      </c>
    </row>
    <row r="1170" spans="1:4" x14ac:dyDescent="0.3">
      <c r="A1170" s="9" t="s">
        <v>23</v>
      </c>
      <c r="B1170" s="9" t="s">
        <v>67</v>
      </c>
      <c r="C1170" s="9" t="s">
        <v>102</v>
      </c>
      <c r="D1170" s="9">
        <v>289</v>
      </c>
    </row>
    <row r="1171" spans="1:4" x14ac:dyDescent="0.3">
      <c r="A1171" s="9" t="s">
        <v>23</v>
      </c>
      <c r="B1171" s="9" t="s">
        <v>68</v>
      </c>
      <c r="C1171" s="9" t="s">
        <v>102</v>
      </c>
      <c r="D1171" s="9">
        <v>9</v>
      </c>
    </row>
    <row r="1172" spans="1:4" x14ac:dyDescent="0.3">
      <c r="A1172" s="9" t="s">
        <v>23</v>
      </c>
      <c r="B1172" s="9" t="s">
        <v>69</v>
      </c>
      <c r="C1172" s="9" t="s">
        <v>102</v>
      </c>
      <c r="D1172" s="9">
        <v>3</v>
      </c>
    </row>
    <row r="1173" spans="1:4" x14ac:dyDescent="0.3">
      <c r="A1173" s="9" t="s">
        <v>23</v>
      </c>
      <c r="B1173" s="9" t="s">
        <v>70</v>
      </c>
      <c r="C1173" s="9" t="s">
        <v>102</v>
      </c>
      <c r="D1173" s="9">
        <v>0</v>
      </c>
    </row>
    <row r="1174" spans="1:4" x14ac:dyDescent="0.3">
      <c r="A1174" s="9" t="s">
        <v>23</v>
      </c>
      <c r="B1174" s="9" t="s">
        <v>75</v>
      </c>
      <c r="C1174" s="9" t="s">
        <v>103</v>
      </c>
      <c r="D1174" s="9">
        <v>1</v>
      </c>
    </row>
    <row r="1175" spans="1:4" x14ac:dyDescent="0.3">
      <c r="A1175" s="9" t="s">
        <v>24</v>
      </c>
      <c r="B1175" s="9" t="s">
        <v>88</v>
      </c>
      <c r="C1175" s="9" t="s">
        <v>92</v>
      </c>
      <c r="D1175" s="9">
        <v>14</v>
      </c>
    </row>
    <row r="1176" spans="1:4" x14ac:dyDescent="0.3">
      <c r="A1176" s="9" t="s">
        <v>24</v>
      </c>
      <c r="B1176" s="9" t="s">
        <v>38</v>
      </c>
      <c r="C1176" s="9" t="s">
        <v>93</v>
      </c>
      <c r="D1176" s="9">
        <v>145</v>
      </c>
    </row>
    <row r="1177" spans="1:4" x14ac:dyDescent="0.3">
      <c r="A1177" s="9" t="s">
        <v>24</v>
      </c>
      <c r="B1177" s="9" t="s">
        <v>87</v>
      </c>
      <c r="C1177" s="9" t="s">
        <v>94</v>
      </c>
      <c r="D1177" s="9">
        <v>401</v>
      </c>
    </row>
    <row r="1178" spans="1:4" x14ac:dyDescent="0.3">
      <c r="A1178" s="9" t="s">
        <v>24</v>
      </c>
      <c r="B1178" s="9" t="s">
        <v>86</v>
      </c>
      <c r="C1178" s="9" t="s">
        <v>86</v>
      </c>
      <c r="D1178" s="9">
        <v>0</v>
      </c>
    </row>
    <row r="1179" spans="1:4" x14ac:dyDescent="0.3">
      <c r="A1179" s="9" t="s">
        <v>24</v>
      </c>
      <c r="B1179" s="9" t="s">
        <v>85</v>
      </c>
      <c r="C1179" s="9" t="s">
        <v>85</v>
      </c>
      <c r="D1179" s="9">
        <v>1</v>
      </c>
    </row>
    <row r="1180" spans="1:4" x14ac:dyDescent="0.3">
      <c r="A1180" s="9" t="s">
        <v>24</v>
      </c>
      <c r="B1180" s="9" t="s">
        <v>84</v>
      </c>
      <c r="C1180" s="9" t="s">
        <v>85</v>
      </c>
      <c r="D1180" s="9">
        <v>1</v>
      </c>
    </row>
    <row r="1181" spans="1:4" x14ac:dyDescent="0.3">
      <c r="A1181" s="9" t="s">
        <v>24</v>
      </c>
      <c r="B1181" s="9" t="s">
        <v>83</v>
      </c>
      <c r="C1181" s="9" t="s">
        <v>95</v>
      </c>
      <c r="D1181" s="9">
        <v>10518</v>
      </c>
    </row>
    <row r="1182" spans="1:4" x14ac:dyDescent="0.3">
      <c r="A1182" s="9" t="s">
        <v>24</v>
      </c>
      <c r="B1182" s="9" t="s">
        <v>39</v>
      </c>
      <c r="C1182" s="9" t="s">
        <v>40</v>
      </c>
      <c r="D1182" s="9">
        <v>2152</v>
      </c>
    </row>
    <row r="1183" spans="1:4" x14ac:dyDescent="0.3">
      <c r="A1183" s="9" t="s">
        <v>24</v>
      </c>
      <c r="B1183" s="9" t="s">
        <v>40</v>
      </c>
      <c r="C1183" s="9" t="s">
        <v>40</v>
      </c>
      <c r="D1183" s="9">
        <v>1816</v>
      </c>
    </row>
    <row r="1184" spans="1:4" x14ac:dyDescent="0.3">
      <c r="A1184" s="9" t="s">
        <v>24</v>
      </c>
      <c r="B1184" s="9" t="s">
        <v>41</v>
      </c>
      <c r="C1184" s="9" t="s">
        <v>40</v>
      </c>
      <c r="D1184" s="9">
        <v>0</v>
      </c>
    </row>
    <row r="1185" spans="1:4" x14ac:dyDescent="0.3">
      <c r="A1185" s="9" t="s">
        <v>24</v>
      </c>
      <c r="B1185" s="9" t="s">
        <v>42</v>
      </c>
      <c r="C1185" s="9" t="s">
        <v>40</v>
      </c>
      <c r="D1185" s="9">
        <v>0</v>
      </c>
    </row>
    <row r="1186" spans="1:4" x14ac:dyDescent="0.3">
      <c r="A1186" s="9" t="s">
        <v>24</v>
      </c>
      <c r="B1186" s="9" t="s">
        <v>43</v>
      </c>
      <c r="C1186" s="9" t="s">
        <v>40</v>
      </c>
      <c r="D1186" s="9">
        <v>220</v>
      </c>
    </row>
    <row r="1187" spans="1:4" x14ac:dyDescent="0.3">
      <c r="A1187" s="9" t="s">
        <v>24</v>
      </c>
      <c r="B1187" s="9" t="s">
        <v>44</v>
      </c>
      <c r="C1187" s="9" t="s">
        <v>40</v>
      </c>
      <c r="D1187" s="9">
        <v>97</v>
      </c>
    </row>
    <row r="1188" spans="1:4" x14ac:dyDescent="0.3">
      <c r="A1188" s="9" t="s">
        <v>24</v>
      </c>
      <c r="B1188" s="9" t="s">
        <v>45</v>
      </c>
      <c r="C1188" s="9" t="s">
        <v>40</v>
      </c>
      <c r="D1188" s="9">
        <v>123</v>
      </c>
    </row>
    <row r="1189" spans="1:4" x14ac:dyDescent="0.3">
      <c r="A1189" s="9" t="s">
        <v>24</v>
      </c>
      <c r="B1189" s="9" t="s">
        <v>71</v>
      </c>
      <c r="C1189" s="9" t="s">
        <v>40</v>
      </c>
      <c r="D1189" s="9">
        <v>76</v>
      </c>
    </row>
    <row r="1190" spans="1:4" x14ac:dyDescent="0.3">
      <c r="A1190" s="9" t="s">
        <v>24</v>
      </c>
      <c r="B1190" s="9" t="s">
        <v>72</v>
      </c>
      <c r="C1190" s="9" t="s">
        <v>40</v>
      </c>
      <c r="D1190" s="9">
        <v>0</v>
      </c>
    </row>
    <row r="1191" spans="1:4" x14ac:dyDescent="0.3">
      <c r="A1191" s="9" t="s">
        <v>24</v>
      </c>
      <c r="B1191" s="9" t="s">
        <v>82</v>
      </c>
      <c r="C1191" s="9" t="s">
        <v>40</v>
      </c>
      <c r="D1191" s="9">
        <v>40</v>
      </c>
    </row>
    <row r="1192" spans="1:4" x14ac:dyDescent="0.3">
      <c r="A1192" s="9" t="s">
        <v>24</v>
      </c>
      <c r="B1192" s="9" t="s">
        <v>81</v>
      </c>
      <c r="C1192" s="9" t="s">
        <v>81</v>
      </c>
      <c r="D1192" s="9">
        <v>298</v>
      </c>
    </row>
    <row r="1193" spans="1:4" x14ac:dyDescent="0.3">
      <c r="A1193" s="9" t="s">
        <v>24</v>
      </c>
      <c r="B1193" s="9" t="s">
        <v>73</v>
      </c>
      <c r="C1193" s="9" t="s">
        <v>81</v>
      </c>
      <c r="D1193" s="9">
        <v>0</v>
      </c>
    </row>
    <row r="1194" spans="1:4" x14ac:dyDescent="0.3">
      <c r="A1194" s="9" t="s">
        <v>24</v>
      </c>
      <c r="B1194" s="9" t="s">
        <v>80</v>
      </c>
      <c r="C1194" s="9" t="s">
        <v>81</v>
      </c>
      <c r="D1194" s="9">
        <v>0</v>
      </c>
    </row>
    <row r="1195" spans="1:4" x14ac:dyDescent="0.3">
      <c r="A1195" s="9" t="s">
        <v>24</v>
      </c>
      <c r="B1195" s="9" t="s">
        <v>79</v>
      </c>
      <c r="C1195" s="9" t="s">
        <v>96</v>
      </c>
      <c r="D1195" s="9">
        <v>817</v>
      </c>
    </row>
    <row r="1196" spans="1:4" x14ac:dyDescent="0.3">
      <c r="A1196" s="9" t="s">
        <v>24</v>
      </c>
      <c r="B1196" s="9" t="s">
        <v>46</v>
      </c>
      <c r="C1196" s="9" t="s">
        <v>96</v>
      </c>
      <c r="D1196" s="9">
        <v>814</v>
      </c>
    </row>
    <row r="1197" spans="1:4" x14ac:dyDescent="0.3">
      <c r="A1197" s="9" t="s">
        <v>24</v>
      </c>
      <c r="B1197" s="9" t="s">
        <v>47</v>
      </c>
      <c r="C1197" s="9" t="s">
        <v>96</v>
      </c>
      <c r="D1197" s="9">
        <v>3</v>
      </c>
    </row>
    <row r="1198" spans="1:4" x14ac:dyDescent="0.3">
      <c r="A1198" s="9" t="s">
        <v>24</v>
      </c>
      <c r="B1198" s="9" t="s">
        <v>48</v>
      </c>
      <c r="C1198" s="9" t="s">
        <v>97</v>
      </c>
      <c r="D1198" s="9">
        <v>41</v>
      </c>
    </row>
    <row r="1199" spans="1:4" x14ac:dyDescent="0.3">
      <c r="A1199" s="9" t="s">
        <v>24</v>
      </c>
      <c r="B1199" s="9" t="s">
        <v>49</v>
      </c>
      <c r="C1199" s="9" t="s">
        <v>97</v>
      </c>
      <c r="D1199" s="9">
        <v>32</v>
      </c>
    </row>
    <row r="1200" spans="1:4" x14ac:dyDescent="0.3">
      <c r="A1200" s="9" t="s">
        <v>24</v>
      </c>
      <c r="B1200" s="9" t="s">
        <v>50</v>
      </c>
      <c r="C1200" s="9" t="s">
        <v>97</v>
      </c>
      <c r="D1200" s="9">
        <v>9</v>
      </c>
    </row>
    <row r="1201" spans="1:4" x14ac:dyDescent="0.3">
      <c r="A1201" s="9" t="s">
        <v>24</v>
      </c>
      <c r="B1201" s="9" t="s">
        <v>51</v>
      </c>
      <c r="C1201" s="9" t="s">
        <v>99</v>
      </c>
      <c r="D1201" s="9">
        <v>5024</v>
      </c>
    </row>
    <row r="1202" spans="1:4" x14ac:dyDescent="0.3">
      <c r="A1202" s="9" t="s">
        <v>24</v>
      </c>
      <c r="B1202" s="9" t="s">
        <v>52</v>
      </c>
      <c r="C1202" s="9" t="s">
        <v>99</v>
      </c>
      <c r="D1202" s="9">
        <v>5009</v>
      </c>
    </row>
    <row r="1203" spans="1:4" x14ac:dyDescent="0.3">
      <c r="A1203" s="9" t="s">
        <v>24</v>
      </c>
      <c r="B1203" s="9" t="s">
        <v>53</v>
      </c>
      <c r="C1203" s="9" t="s">
        <v>99</v>
      </c>
      <c r="D1203" s="9">
        <v>15</v>
      </c>
    </row>
    <row r="1204" spans="1:4" x14ac:dyDescent="0.3">
      <c r="A1204" s="9" t="s">
        <v>24</v>
      </c>
      <c r="B1204" s="9" t="s">
        <v>54</v>
      </c>
      <c r="C1204" s="9" t="s">
        <v>98</v>
      </c>
      <c r="D1204" s="9">
        <v>957</v>
      </c>
    </row>
    <row r="1205" spans="1:4" x14ac:dyDescent="0.3">
      <c r="A1205" s="9" t="s">
        <v>24</v>
      </c>
      <c r="B1205" s="9" t="s">
        <v>55</v>
      </c>
      <c r="C1205" s="9" t="s">
        <v>98</v>
      </c>
      <c r="D1205" s="9">
        <v>957</v>
      </c>
    </row>
    <row r="1206" spans="1:4" x14ac:dyDescent="0.3">
      <c r="A1206" s="9" t="s">
        <v>24</v>
      </c>
      <c r="B1206" s="9" t="s">
        <v>56</v>
      </c>
      <c r="C1206" s="9" t="s">
        <v>98</v>
      </c>
      <c r="D1206" s="9">
        <v>0</v>
      </c>
    </row>
    <row r="1207" spans="1:4" x14ac:dyDescent="0.3">
      <c r="A1207" s="9" t="s">
        <v>24</v>
      </c>
      <c r="B1207" s="9" t="s">
        <v>74</v>
      </c>
      <c r="C1207" s="9" t="s">
        <v>74</v>
      </c>
      <c r="D1207" s="9">
        <v>4</v>
      </c>
    </row>
    <row r="1208" spans="1:4" x14ac:dyDescent="0.3">
      <c r="A1208" s="9" t="s">
        <v>24</v>
      </c>
      <c r="B1208" s="9" t="s">
        <v>57</v>
      </c>
      <c r="C1208" s="9" t="s">
        <v>100</v>
      </c>
      <c r="D1208" s="9">
        <v>57</v>
      </c>
    </row>
    <row r="1209" spans="1:4" x14ac:dyDescent="0.3">
      <c r="A1209" s="9" t="s">
        <v>24</v>
      </c>
      <c r="B1209" s="9" t="s">
        <v>76</v>
      </c>
      <c r="C1209" s="9" t="s">
        <v>100</v>
      </c>
      <c r="D1209" s="9">
        <v>15</v>
      </c>
    </row>
    <row r="1210" spans="1:4" x14ac:dyDescent="0.3">
      <c r="A1210" s="9" t="s">
        <v>24</v>
      </c>
      <c r="B1210" s="9" t="s">
        <v>58</v>
      </c>
      <c r="C1210" s="9" t="s">
        <v>100</v>
      </c>
      <c r="D1210" s="9">
        <v>0</v>
      </c>
    </row>
    <row r="1211" spans="1:4" x14ac:dyDescent="0.3">
      <c r="A1211" s="9" t="s">
        <v>24</v>
      </c>
      <c r="B1211" s="9" t="s">
        <v>59</v>
      </c>
      <c r="C1211" s="9" t="s">
        <v>100</v>
      </c>
      <c r="D1211" s="9">
        <v>0</v>
      </c>
    </row>
    <row r="1212" spans="1:4" x14ac:dyDescent="0.3">
      <c r="A1212" s="9" t="s">
        <v>24</v>
      </c>
      <c r="B1212" s="9" t="s">
        <v>60</v>
      </c>
      <c r="C1212" s="9" t="s">
        <v>100</v>
      </c>
      <c r="D1212" s="9">
        <v>1</v>
      </c>
    </row>
    <row r="1213" spans="1:4" x14ac:dyDescent="0.3">
      <c r="A1213" s="9" t="s">
        <v>24</v>
      </c>
      <c r="B1213" s="9" t="s">
        <v>61</v>
      </c>
      <c r="C1213" s="9" t="s">
        <v>100</v>
      </c>
      <c r="D1213" s="9">
        <v>41</v>
      </c>
    </row>
    <row r="1214" spans="1:4" x14ac:dyDescent="0.3">
      <c r="A1214" s="9" t="s">
        <v>24</v>
      </c>
      <c r="B1214" s="9" t="s">
        <v>78</v>
      </c>
      <c r="C1214" s="9" t="s">
        <v>95</v>
      </c>
      <c r="D1214" s="9">
        <v>0</v>
      </c>
    </row>
    <row r="1215" spans="1:4" x14ac:dyDescent="0.3">
      <c r="A1215" s="9" t="s">
        <v>24</v>
      </c>
      <c r="B1215" s="9" t="s">
        <v>62</v>
      </c>
      <c r="C1215" s="9" t="s">
        <v>101</v>
      </c>
      <c r="D1215" s="9">
        <v>120</v>
      </c>
    </row>
    <row r="1216" spans="1:4" x14ac:dyDescent="0.3">
      <c r="A1216" s="9" t="s">
        <v>24</v>
      </c>
      <c r="B1216" s="9" t="s">
        <v>63</v>
      </c>
      <c r="C1216" s="9" t="s">
        <v>101</v>
      </c>
      <c r="D1216" s="9">
        <v>78</v>
      </c>
    </row>
    <row r="1217" spans="1:4" x14ac:dyDescent="0.3">
      <c r="A1217" s="9" t="s">
        <v>24</v>
      </c>
      <c r="B1217" s="9" t="s">
        <v>64</v>
      </c>
      <c r="C1217" s="9" t="s">
        <v>101</v>
      </c>
      <c r="D1217" s="9">
        <v>42</v>
      </c>
    </row>
    <row r="1218" spans="1:4" x14ac:dyDescent="0.3">
      <c r="A1218" s="9" t="s">
        <v>24</v>
      </c>
      <c r="B1218" s="9" t="s">
        <v>77</v>
      </c>
      <c r="C1218" s="9" t="s">
        <v>102</v>
      </c>
      <c r="D1218" s="9">
        <v>3128</v>
      </c>
    </row>
    <row r="1219" spans="1:4" x14ac:dyDescent="0.3">
      <c r="A1219" s="9" t="s">
        <v>24</v>
      </c>
      <c r="B1219" s="9" t="s">
        <v>65</v>
      </c>
      <c r="C1219" s="9" t="s">
        <v>102</v>
      </c>
      <c r="D1219" s="9">
        <v>1758</v>
      </c>
    </row>
    <row r="1220" spans="1:4" x14ac:dyDescent="0.3">
      <c r="A1220" s="9" t="s">
        <v>24</v>
      </c>
      <c r="B1220" s="9" t="s">
        <v>66</v>
      </c>
      <c r="C1220" s="9" t="s">
        <v>102</v>
      </c>
      <c r="D1220" s="9">
        <v>1232</v>
      </c>
    </row>
    <row r="1221" spans="1:4" x14ac:dyDescent="0.3">
      <c r="A1221" s="9" t="s">
        <v>24</v>
      </c>
      <c r="B1221" s="9" t="s">
        <v>67</v>
      </c>
      <c r="C1221" s="9" t="s">
        <v>102</v>
      </c>
      <c r="D1221" s="9">
        <v>98</v>
      </c>
    </row>
    <row r="1222" spans="1:4" x14ac:dyDescent="0.3">
      <c r="A1222" s="9" t="s">
        <v>24</v>
      </c>
      <c r="B1222" s="9" t="s">
        <v>68</v>
      </c>
      <c r="C1222" s="9" t="s">
        <v>102</v>
      </c>
      <c r="D1222" s="9">
        <v>28</v>
      </c>
    </row>
    <row r="1223" spans="1:4" x14ac:dyDescent="0.3">
      <c r="A1223" s="9" t="s">
        <v>24</v>
      </c>
      <c r="B1223" s="9" t="s">
        <v>69</v>
      </c>
      <c r="C1223" s="9" t="s">
        <v>102</v>
      </c>
      <c r="D1223" s="9">
        <v>12</v>
      </c>
    </row>
    <row r="1224" spans="1:4" x14ac:dyDescent="0.3">
      <c r="A1224" s="9" t="s">
        <v>24</v>
      </c>
      <c r="B1224" s="9" t="s">
        <v>70</v>
      </c>
      <c r="C1224" s="9" t="s">
        <v>102</v>
      </c>
      <c r="D1224" s="9">
        <v>0</v>
      </c>
    </row>
    <row r="1225" spans="1:4" x14ac:dyDescent="0.3">
      <c r="A1225" s="9" t="s">
        <v>24</v>
      </c>
      <c r="B1225" s="9" t="s">
        <v>75</v>
      </c>
      <c r="C1225" s="9" t="s">
        <v>103</v>
      </c>
      <c r="D1225" s="9">
        <v>0</v>
      </c>
    </row>
    <row r="1226" spans="1:4" x14ac:dyDescent="0.3">
      <c r="A1226" s="9" t="s">
        <v>25</v>
      </c>
      <c r="B1226" s="9" t="s">
        <v>88</v>
      </c>
      <c r="C1226" s="9" t="s">
        <v>92</v>
      </c>
      <c r="D1226" s="9">
        <v>0</v>
      </c>
    </row>
    <row r="1227" spans="1:4" x14ac:dyDescent="0.3">
      <c r="A1227" s="9" t="s">
        <v>25</v>
      </c>
      <c r="B1227" s="9" t="s">
        <v>38</v>
      </c>
      <c r="C1227" s="9" t="s">
        <v>93</v>
      </c>
      <c r="D1227" s="9">
        <v>21</v>
      </c>
    </row>
    <row r="1228" spans="1:4" x14ac:dyDescent="0.3">
      <c r="A1228" s="9" t="s">
        <v>25</v>
      </c>
      <c r="B1228" s="9" t="s">
        <v>87</v>
      </c>
      <c r="C1228" s="9" t="s">
        <v>94</v>
      </c>
      <c r="D1228" s="9">
        <v>14</v>
      </c>
    </row>
    <row r="1229" spans="1:4" x14ac:dyDescent="0.3">
      <c r="A1229" s="9" t="s">
        <v>25</v>
      </c>
      <c r="B1229" s="9" t="s">
        <v>86</v>
      </c>
      <c r="C1229" s="9" t="s">
        <v>86</v>
      </c>
      <c r="D1229" s="9">
        <v>0</v>
      </c>
    </row>
    <row r="1230" spans="1:4" x14ac:dyDescent="0.3">
      <c r="A1230" s="9" t="s">
        <v>25</v>
      </c>
      <c r="B1230" s="9" t="s">
        <v>85</v>
      </c>
      <c r="C1230" s="9" t="s">
        <v>85</v>
      </c>
      <c r="D1230" s="9">
        <v>0</v>
      </c>
    </row>
    <row r="1231" spans="1:4" x14ac:dyDescent="0.3">
      <c r="A1231" s="9" t="s">
        <v>25</v>
      </c>
      <c r="B1231" s="9" t="s">
        <v>84</v>
      </c>
      <c r="C1231" s="9" t="s">
        <v>85</v>
      </c>
      <c r="D1231" s="9">
        <v>0</v>
      </c>
    </row>
    <row r="1232" spans="1:4" x14ac:dyDescent="0.3">
      <c r="A1232" s="9" t="s">
        <v>25</v>
      </c>
      <c r="B1232" s="9" t="s">
        <v>83</v>
      </c>
      <c r="C1232" s="9" t="s">
        <v>95</v>
      </c>
      <c r="D1232" s="9">
        <v>319</v>
      </c>
    </row>
    <row r="1233" spans="1:4" x14ac:dyDescent="0.3">
      <c r="A1233" s="9" t="s">
        <v>25</v>
      </c>
      <c r="B1233" s="9" t="s">
        <v>39</v>
      </c>
      <c r="C1233" s="9" t="s">
        <v>40</v>
      </c>
      <c r="D1233" s="9">
        <v>111</v>
      </c>
    </row>
    <row r="1234" spans="1:4" x14ac:dyDescent="0.3">
      <c r="A1234" s="9" t="s">
        <v>25</v>
      </c>
      <c r="B1234" s="9" t="s">
        <v>40</v>
      </c>
      <c r="C1234" s="9" t="s">
        <v>40</v>
      </c>
      <c r="D1234" s="9">
        <v>36</v>
      </c>
    </row>
    <row r="1235" spans="1:4" x14ac:dyDescent="0.3">
      <c r="A1235" s="9" t="s">
        <v>25</v>
      </c>
      <c r="B1235" s="9" t="s">
        <v>41</v>
      </c>
      <c r="C1235" s="9" t="s">
        <v>40</v>
      </c>
      <c r="D1235" s="9">
        <v>1</v>
      </c>
    </row>
    <row r="1236" spans="1:4" x14ac:dyDescent="0.3">
      <c r="A1236" s="9" t="s">
        <v>25</v>
      </c>
      <c r="B1236" s="9" t="s">
        <v>42</v>
      </c>
      <c r="C1236" s="9" t="s">
        <v>40</v>
      </c>
      <c r="D1236" s="9">
        <v>0</v>
      </c>
    </row>
    <row r="1237" spans="1:4" x14ac:dyDescent="0.3">
      <c r="A1237" s="9" t="s">
        <v>25</v>
      </c>
      <c r="B1237" s="9" t="s">
        <v>43</v>
      </c>
      <c r="C1237" s="9" t="s">
        <v>40</v>
      </c>
      <c r="D1237" s="9">
        <v>29</v>
      </c>
    </row>
    <row r="1238" spans="1:4" x14ac:dyDescent="0.3">
      <c r="A1238" s="9" t="s">
        <v>25</v>
      </c>
      <c r="B1238" s="9" t="s">
        <v>44</v>
      </c>
      <c r="C1238" s="9" t="s">
        <v>40</v>
      </c>
      <c r="D1238" s="9">
        <v>8</v>
      </c>
    </row>
    <row r="1239" spans="1:4" x14ac:dyDescent="0.3">
      <c r="A1239" s="9" t="s">
        <v>25</v>
      </c>
      <c r="B1239" s="9" t="s">
        <v>45</v>
      </c>
      <c r="C1239" s="9" t="s">
        <v>40</v>
      </c>
      <c r="D1239" s="9">
        <v>21</v>
      </c>
    </row>
    <row r="1240" spans="1:4" x14ac:dyDescent="0.3">
      <c r="A1240" s="9" t="s">
        <v>25</v>
      </c>
      <c r="B1240" s="9" t="s">
        <v>71</v>
      </c>
      <c r="C1240" s="9" t="s">
        <v>40</v>
      </c>
      <c r="D1240" s="9">
        <v>44</v>
      </c>
    </row>
    <row r="1241" spans="1:4" x14ac:dyDescent="0.3">
      <c r="A1241" s="9" t="s">
        <v>25</v>
      </c>
      <c r="B1241" s="9" t="s">
        <v>72</v>
      </c>
      <c r="C1241" s="9" t="s">
        <v>40</v>
      </c>
      <c r="D1241" s="9">
        <v>0</v>
      </c>
    </row>
    <row r="1242" spans="1:4" x14ac:dyDescent="0.3">
      <c r="A1242" s="9" t="s">
        <v>25</v>
      </c>
      <c r="B1242" s="9" t="s">
        <v>82</v>
      </c>
      <c r="C1242" s="9" t="s">
        <v>40</v>
      </c>
      <c r="D1242" s="9">
        <v>1</v>
      </c>
    </row>
    <row r="1243" spans="1:4" x14ac:dyDescent="0.3">
      <c r="A1243" s="9" t="s">
        <v>25</v>
      </c>
      <c r="B1243" s="9" t="s">
        <v>81</v>
      </c>
      <c r="C1243" s="9" t="s">
        <v>81</v>
      </c>
      <c r="D1243" s="9">
        <v>5</v>
      </c>
    </row>
    <row r="1244" spans="1:4" x14ac:dyDescent="0.3">
      <c r="A1244" s="9" t="s">
        <v>25</v>
      </c>
      <c r="B1244" s="9" t="s">
        <v>73</v>
      </c>
      <c r="C1244" s="9" t="s">
        <v>81</v>
      </c>
      <c r="D1244" s="9">
        <v>0</v>
      </c>
    </row>
    <row r="1245" spans="1:4" x14ac:dyDescent="0.3">
      <c r="A1245" s="9" t="s">
        <v>25</v>
      </c>
      <c r="B1245" s="9" t="s">
        <v>80</v>
      </c>
      <c r="C1245" s="9" t="s">
        <v>81</v>
      </c>
      <c r="D1245" s="9">
        <v>0</v>
      </c>
    </row>
    <row r="1246" spans="1:4" x14ac:dyDescent="0.3">
      <c r="A1246" s="9" t="s">
        <v>25</v>
      </c>
      <c r="B1246" s="9" t="s">
        <v>79</v>
      </c>
      <c r="C1246" s="9" t="s">
        <v>96</v>
      </c>
      <c r="D1246" s="9">
        <v>57</v>
      </c>
    </row>
    <row r="1247" spans="1:4" x14ac:dyDescent="0.3">
      <c r="A1247" s="9" t="s">
        <v>25</v>
      </c>
      <c r="B1247" s="9" t="s">
        <v>46</v>
      </c>
      <c r="C1247" s="9" t="s">
        <v>96</v>
      </c>
      <c r="D1247" s="9">
        <v>57</v>
      </c>
    </row>
    <row r="1248" spans="1:4" x14ac:dyDescent="0.3">
      <c r="A1248" s="9" t="s">
        <v>25</v>
      </c>
      <c r="B1248" s="9" t="s">
        <v>47</v>
      </c>
      <c r="C1248" s="9" t="s">
        <v>96</v>
      </c>
      <c r="D1248" s="9">
        <v>0</v>
      </c>
    </row>
    <row r="1249" spans="1:4" x14ac:dyDescent="0.3">
      <c r="A1249" s="9" t="s">
        <v>25</v>
      </c>
      <c r="B1249" s="9" t="s">
        <v>48</v>
      </c>
      <c r="C1249" s="9" t="s">
        <v>97</v>
      </c>
      <c r="D1249" s="9">
        <v>5</v>
      </c>
    </row>
    <row r="1250" spans="1:4" x14ac:dyDescent="0.3">
      <c r="A1250" s="9" t="s">
        <v>25</v>
      </c>
      <c r="B1250" s="9" t="s">
        <v>49</v>
      </c>
      <c r="C1250" s="9" t="s">
        <v>97</v>
      </c>
      <c r="D1250" s="9">
        <v>5</v>
      </c>
    </row>
    <row r="1251" spans="1:4" x14ac:dyDescent="0.3">
      <c r="A1251" s="9" t="s">
        <v>25</v>
      </c>
      <c r="B1251" s="9" t="s">
        <v>50</v>
      </c>
      <c r="C1251" s="9" t="s">
        <v>97</v>
      </c>
      <c r="D1251" s="9">
        <v>0</v>
      </c>
    </row>
    <row r="1252" spans="1:4" x14ac:dyDescent="0.3">
      <c r="A1252" s="9" t="s">
        <v>25</v>
      </c>
      <c r="B1252" s="9" t="s">
        <v>51</v>
      </c>
      <c r="C1252" s="9" t="s">
        <v>99</v>
      </c>
      <c r="D1252" s="9">
        <v>110</v>
      </c>
    </row>
    <row r="1253" spans="1:4" x14ac:dyDescent="0.3">
      <c r="A1253" s="9" t="s">
        <v>25</v>
      </c>
      <c r="B1253" s="9" t="s">
        <v>52</v>
      </c>
      <c r="C1253" s="9" t="s">
        <v>99</v>
      </c>
      <c r="D1253" s="9">
        <v>109</v>
      </c>
    </row>
    <row r="1254" spans="1:4" x14ac:dyDescent="0.3">
      <c r="A1254" s="9" t="s">
        <v>25</v>
      </c>
      <c r="B1254" s="9" t="s">
        <v>53</v>
      </c>
      <c r="C1254" s="9" t="s">
        <v>99</v>
      </c>
      <c r="D1254" s="9">
        <v>1</v>
      </c>
    </row>
    <row r="1255" spans="1:4" x14ac:dyDescent="0.3">
      <c r="A1255" s="9" t="s">
        <v>25</v>
      </c>
      <c r="B1255" s="9" t="s">
        <v>54</v>
      </c>
      <c r="C1255" s="9" t="s">
        <v>98</v>
      </c>
      <c r="D1255" s="9">
        <v>3</v>
      </c>
    </row>
    <row r="1256" spans="1:4" x14ac:dyDescent="0.3">
      <c r="A1256" s="9" t="s">
        <v>25</v>
      </c>
      <c r="B1256" s="9" t="s">
        <v>55</v>
      </c>
      <c r="C1256" s="9" t="s">
        <v>98</v>
      </c>
      <c r="D1256" s="9">
        <v>3</v>
      </c>
    </row>
    <row r="1257" spans="1:4" x14ac:dyDescent="0.3">
      <c r="A1257" s="9" t="s">
        <v>25</v>
      </c>
      <c r="B1257" s="9" t="s">
        <v>56</v>
      </c>
      <c r="C1257" s="9" t="s">
        <v>98</v>
      </c>
      <c r="D1257" s="9">
        <v>0</v>
      </c>
    </row>
    <row r="1258" spans="1:4" x14ac:dyDescent="0.3">
      <c r="A1258" s="9" t="s">
        <v>25</v>
      </c>
      <c r="B1258" s="9" t="s">
        <v>74</v>
      </c>
      <c r="C1258" s="9" t="s">
        <v>74</v>
      </c>
      <c r="D1258" s="9">
        <v>0</v>
      </c>
    </row>
    <row r="1259" spans="1:4" x14ac:dyDescent="0.3">
      <c r="A1259" s="9" t="s">
        <v>25</v>
      </c>
      <c r="B1259" s="9" t="s">
        <v>57</v>
      </c>
      <c r="C1259" s="9" t="s">
        <v>100</v>
      </c>
      <c r="D1259" s="9">
        <v>0</v>
      </c>
    </row>
    <row r="1260" spans="1:4" x14ac:dyDescent="0.3">
      <c r="A1260" s="9" t="s">
        <v>25</v>
      </c>
      <c r="B1260" s="9" t="s">
        <v>76</v>
      </c>
      <c r="C1260" s="9" t="s">
        <v>100</v>
      </c>
      <c r="D1260" s="9">
        <v>0</v>
      </c>
    </row>
    <row r="1261" spans="1:4" x14ac:dyDescent="0.3">
      <c r="A1261" s="9" t="s">
        <v>25</v>
      </c>
      <c r="B1261" s="9" t="s">
        <v>58</v>
      </c>
      <c r="C1261" s="9" t="s">
        <v>100</v>
      </c>
      <c r="D1261" s="9">
        <v>0</v>
      </c>
    </row>
    <row r="1262" spans="1:4" x14ac:dyDescent="0.3">
      <c r="A1262" s="9" t="s">
        <v>25</v>
      </c>
      <c r="B1262" s="9" t="s">
        <v>59</v>
      </c>
      <c r="C1262" s="9" t="s">
        <v>100</v>
      </c>
      <c r="D1262" s="9">
        <v>0</v>
      </c>
    </row>
    <row r="1263" spans="1:4" x14ac:dyDescent="0.3">
      <c r="A1263" s="9" t="s">
        <v>25</v>
      </c>
      <c r="B1263" s="9" t="s">
        <v>60</v>
      </c>
      <c r="C1263" s="9" t="s">
        <v>100</v>
      </c>
      <c r="D1263" s="9">
        <v>0</v>
      </c>
    </row>
    <row r="1264" spans="1:4" x14ac:dyDescent="0.3">
      <c r="A1264" s="9" t="s">
        <v>25</v>
      </c>
      <c r="B1264" s="9" t="s">
        <v>61</v>
      </c>
      <c r="C1264" s="9" t="s">
        <v>100</v>
      </c>
      <c r="D1264" s="9">
        <v>0</v>
      </c>
    </row>
    <row r="1265" spans="1:4" x14ac:dyDescent="0.3">
      <c r="A1265" s="9" t="s">
        <v>25</v>
      </c>
      <c r="B1265" s="9" t="s">
        <v>78</v>
      </c>
      <c r="C1265" s="9" t="s">
        <v>95</v>
      </c>
      <c r="D1265" s="9">
        <v>1</v>
      </c>
    </row>
    <row r="1266" spans="1:4" x14ac:dyDescent="0.3">
      <c r="A1266" s="9" t="s">
        <v>25</v>
      </c>
      <c r="B1266" s="9" t="s">
        <v>62</v>
      </c>
      <c r="C1266" s="9" t="s">
        <v>101</v>
      </c>
      <c r="D1266" s="9">
        <v>13</v>
      </c>
    </row>
    <row r="1267" spans="1:4" x14ac:dyDescent="0.3">
      <c r="A1267" s="9" t="s">
        <v>25</v>
      </c>
      <c r="B1267" s="9" t="s">
        <v>63</v>
      </c>
      <c r="C1267" s="9" t="s">
        <v>101</v>
      </c>
      <c r="D1267" s="9">
        <v>13</v>
      </c>
    </row>
    <row r="1268" spans="1:4" x14ac:dyDescent="0.3">
      <c r="A1268" s="9" t="s">
        <v>25</v>
      </c>
      <c r="B1268" s="9" t="s">
        <v>64</v>
      </c>
      <c r="C1268" s="9" t="s">
        <v>101</v>
      </c>
      <c r="D1268" s="9">
        <v>0</v>
      </c>
    </row>
    <row r="1269" spans="1:4" x14ac:dyDescent="0.3">
      <c r="A1269" s="9" t="s">
        <v>25</v>
      </c>
      <c r="B1269" s="9" t="s">
        <v>77</v>
      </c>
      <c r="C1269" s="9" t="s">
        <v>102</v>
      </c>
      <c r="D1269" s="9">
        <v>132</v>
      </c>
    </row>
    <row r="1270" spans="1:4" x14ac:dyDescent="0.3">
      <c r="A1270" s="9" t="s">
        <v>25</v>
      </c>
      <c r="B1270" s="9" t="s">
        <v>65</v>
      </c>
      <c r="C1270" s="9" t="s">
        <v>102</v>
      </c>
      <c r="D1270" s="9">
        <v>82</v>
      </c>
    </row>
    <row r="1271" spans="1:4" x14ac:dyDescent="0.3">
      <c r="A1271" s="9" t="s">
        <v>25</v>
      </c>
      <c r="B1271" s="9" t="s">
        <v>66</v>
      </c>
      <c r="C1271" s="9" t="s">
        <v>102</v>
      </c>
      <c r="D1271" s="9">
        <v>41</v>
      </c>
    </row>
    <row r="1272" spans="1:4" x14ac:dyDescent="0.3">
      <c r="A1272" s="9" t="s">
        <v>25</v>
      </c>
      <c r="B1272" s="9" t="s">
        <v>67</v>
      </c>
      <c r="C1272" s="9" t="s">
        <v>102</v>
      </c>
      <c r="D1272" s="9">
        <v>8</v>
      </c>
    </row>
    <row r="1273" spans="1:4" x14ac:dyDescent="0.3">
      <c r="A1273" s="9" t="s">
        <v>25</v>
      </c>
      <c r="B1273" s="9" t="s">
        <v>68</v>
      </c>
      <c r="C1273" s="9" t="s">
        <v>102</v>
      </c>
      <c r="D1273" s="9">
        <v>1</v>
      </c>
    </row>
    <row r="1274" spans="1:4" x14ac:dyDescent="0.3">
      <c r="A1274" s="9" t="s">
        <v>25</v>
      </c>
      <c r="B1274" s="9" t="s">
        <v>69</v>
      </c>
      <c r="C1274" s="9" t="s">
        <v>102</v>
      </c>
      <c r="D1274" s="9">
        <v>0</v>
      </c>
    </row>
    <row r="1275" spans="1:4" x14ac:dyDescent="0.3">
      <c r="A1275" s="9" t="s">
        <v>25</v>
      </c>
      <c r="B1275" s="9" t="s">
        <v>70</v>
      </c>
      <c r="C1275" s="9" t="s">
        <v>102</v>
      </c>
      <c r="D1275" s="9">
        <v>0</v>
      </c>
    </row>
    <row r="1276" spans="1:4" x14ac:dyDescent="0.3">
      <c r="A1276" s="9" t="s">
        <v>25</v>
      </c>
      <c r="B1276" s="9" t="s">
        <v>75</v>
      </c>
      <c r="C1276" s="9" t="s">
        <v>103</v>
      </c>
      <c r="D1276" s="9">
        <v>0</v>
      </c>
    </row>
    <row r="1277" spans="1:4" x14ac:dyDescent="0.3">
      <c r="A1277" s="9" t="s">
        <v>26</v>
      </c>
      <c r="B1277" s="9" t="s">
        <v>88</v>
      </c>
      <c r="C1277" s="9" t="s">
        <v>92</v>
      </c>
      <c r="D1277" s="9">
        <v>33</v>
      </c>
    </row>
    <row r="1278" spans="1:4" x14ac:dyDescent="0.3">
      <c r="A1278" s="9" t="s">
        <v>26</v>
      </c>
      <c r="B1278" s="9" t="s">
        <v>38</v>
      </c>
      <c r="C1278" s="9" t="s">
        <v>93</v>
      </c>
      <c r="D1278" s="9">
        <v>2122</v>
      </c>
    </row>
    <row r="1279" spans="1:4" x14ac:dyDescent="0.3">
      <c r="A1279" s="9" t="s">
        <v>26</v>
      </c>
      <c r="B1279" s="9" t="s">
        <v>87</v>
      </c>
      <c r="C1279" s="9" t="s">
        <v>94</v>
      </c>
      <c r="D1279" s="9">
        <v>395</v>
      </c>
    </row>
    <row r="1280" spans="1:4" x14ac:dyDescent="0.3">
      <c r="A1280" s="9" t="s">
        <v>26</v>
      </c>
      <c r="B1280" s="9" t="s">
        <v>86</v>
      </c>
      <c r="C1280" s="9" t="s">
        <v>86</v>
      </c>
      <c r="D1280" s="9">
        <v>106</v>
      </c>
    </row>
    <row r="1281" spans="1:4" x14ac:dyDescent="0.3">
      <c r="A1281" s="9" t="s">
        <v>26</v>
      </c>
      <c r="B1281" s="9" t="s">
        <v>85</v>
      </c>
      <c r="C1281" s="9" t="s">
        <v>85</v>
      </c>
      <c r="D1281" s="9">
        <v>28</v>
      </c>
    </row>
    <row r="1282" spans="1:4" x14ac:dyDescent="0.3">
      <c r="A1282" s="9" t="s">
        <v>26</v>
      </c>
      <c r="B1282" s="9" t="s">
        <v>84</v>
      </c>
      <c r="C1282" s="9" t="s">
        <v>85</v>
      </c>
      <c r="D1282" s="9">
        <v>4</v>
      </c>
    </row>
    <row r="1283" spans="1:4" x14ac:dyDescent="0.3">
      <c r="A1283" s="9" t="s">
        <v>26</v>
      </c>
      <c r="B1283" s="9" t="s">
        <v>83</v>
      </c>
      <c r="C1283" s="9" t="s">
        <v>95</v>
      </c>
      <c r="D1283" s="9">
        <v>19889</v>
      </c>
    </row>
    <row r="1284" spans="1:4" x14ac:dyDescent="0.3">
      <c r="A1284" s="9" t="s">
        <v>26</v>
      </c>
      <c r="B1284" s="9" t="s">
        <v>39</v>
      </c>
      <c r="C1284" s="9" t="s">
        <v>40</v>
      </c>
      <c r="D1284" s="9">
        <v>14272</v>
      </c>
    </row>
    <row r="1285" spans="1:4" x14ac:dyDescent="0.3">
      <c r="A1285" s="9" t="s">
        <v>26</v>
      </c>
      <c r="B1285" s="9" t="s">
        <v>40</v>
      </c>
      <c r="C1285" s="9" t="s">
        <v>40</v>
      </c>
      <c r="D1285" s="9">
        <v>3613</v>
      </c>
    </row>
    <row r="1286" spans="1:4" x14ac:dyDescent="0.3">
      <c r="A1286" s="9" t="s">
        <v>26</v>
      </c>
      <c r="B1286" s="9" t="s">
        <v>41</v>
      </c>
      <c r="C1286" s="9" t="s">
        <v>40</v>
      </c>
      <c r="D1286" s="9">
        <v>19</v>
      </c>
    </row>
    <row r="1287" spans="1:4" x14ac:dyDescent="0.3">
      <c r="A1287" s="9" t="s">
        <v>26</v>
      </c>
      <c r="B1287" s="9" t="s">
        <v>42</v>
      </c>
      <c r="C1287" s="9" t="s">
        <v>40</v>
      </c>
      <c r="D1287" s="9">
        <v>2</v>
      </c>
    </row>
    <row r="1288" spans="1:4" x14ac:dyDescent="0.3">
      <c r="A1288" s="9" t="s">
        <v>26</v>
      </c>
      <c r="B1288" s="9" t="s">
        <v>43</v>
      </c>
      <c r="C1288" s="9" t="s">
        <v>40</v>
      </c>
      <c r="D1288" s="9">
        <v>10627</v>
      </c>
    </row>
    <row r="1289" spans="1:4" x14ac:dyDescent="0.3">
      <c r="A1289" s="9" t="s">
        <v>26</v>
      </c>
      <c r="B1289" s="9" t="s">
        <v>44</v>
      </c>
      <c r="C1289" s="9" t="s">
        <v>40</v>
      </c>
      <c r="D1289" s="9">
        <v>6978</v>
      </c>
    </row>
    <row r="1290" spans="1:4" x14ac:dyDescent="0.3">
      <c r="A1290" s="9" t="s">
        <v>26</v>
      </c>
      <c r="B1290" s="9" t="s">
        <v>45</v>
      </c>
      <c r="C1290" s="9" t="s">
        <v>40</v>
      </c>
      <c r="D1290" s="9">
        <v>3649</v>
      </c>
    </row>
    <row r="1291" spans="1:4" x14ac:dyDescent="0.3">
      <c r="A1291" s="9" t="s">
        <v>26</v>
      </c>
      <c r="B1291" s="9" t="s">
        <v>71</v>
      </c>
      <c r="C1291" s="9" t="s">
        <v>40</v>
      </c>
      <c r="D1291" s="9">
        <v>0</v>
      </c>
    </row>
    <row r="1292" spans="1:4" x14ac:dyDescent="0.3">
      <c r="A1292" s="9" t="s">
        <v>26</v>
      </c>
      <c r="B1292" s="9" t="s">
        <v>72</v>
      </c>
      <c r="C1292" s="9" t="s">
        <v>40</v>
      </c>
      <c r="D1292" s="9">
        <v>0</v>
      </c>
    </row>
    <row r="1293" spans="1:4" x14ac:dyDescent="0.3">
      <c r="A1293" s="9" t="s">
        <v>26</v>
      </c>
      <c r="B1293" s="9" t="s">
        <v>82</v>
      </c>
      <c r="C1293" s="9" t="s">
        <v>40</v>
      </c>
      <c r="D1293" s="9">
        <v>11</v>
      </c>
    </row>
    <row r="1294" spans="1:4" x14ac:dyDescent="0.3">
      <c r="A1294" s="9" t="s">
        <v>26</v>
      </c>
      <c r="B1294" s="9" t="s">
        <v>81</v>
      </c>
      <c r="C1294" s="9" t="s">
        <v>81</v>
      </c>
      <c r="D1294" s="9">
        <v>7</v>
      </c>
    </row>
    <row r="1295" spans="1:4" x14ac:dyDescent="0.3">
      <c r="A1295" s="9" t="s">
        <v>26</v>
      </c>
      <c r="B1295" s="9" t="s">
        <v>73</v>
      </c>
      <c r="C1295" s="9" t="s">
        <v>81</v>
      </c>
      <c r="D1295" s="9">
        <v>1</v>
      </c>
    </row>
    <row r="1296" spans="1:4" x14ac:dyDescent="0.3">
      <c r="A1296" s="9" t="s">
        <v>26</v>
      </c>
      <c r="B1296" s="9" t="s">
        <v>80</v>
      </c>
      <c r="C1296" s="9" t="s">
        <v>81</v>
      </c>
      <c r="D1296" s="9">
        <v>0</v>
      </c>
    </row>
    <row r="1297" spans="1:4" x14ac:dyDescent="0.3">
      <c r="A1297" s="9" t="s">
        <v>26</v>
      </c>
      <c r="B1297" s="9" t="s">
        <v>79</v>
      </c>
      <c r="C1297" s="9" t="s">
        <v>96</v>
      </c>
      <c r="D1297" s="9">
        <v>3516</v>
      </c>
    </row>
    <row r="1298" spans="1:4" x14ac:dyDescent="0.3">
      <c r="A1298" s="9" t="s">
        <v>26</v>
      </c>
      <c r="B1298" s="9" t="s">
        <v>46</v>
      </c>
      <c r="C1298" s="9" t="s">
        <v>96</v>
      </c>
      <c r="D1298" s="9">
        <v>3215</v>
      </c>
    </row>
    <row r="1299" spans="1:4" x14ac:dyDescent="0.3">
      <c r="A1299" s="9" t="s">
        <v>26</v>
      </c>
      <c r="B1299" s="9" t="s">
        <v>47</v>
      </c>
      <c r="C1299" s="9" t="s">
        <v>96</v>
      </c>
      <c r="D1299" s="9">
        <v>301</v>
      </c>
    </row>
    <row r="1300" spans="1:4" x14ac:dyDescent="0.3">
      <c r="A1300" s="9" t="s">
        <v>26</v>
      </c>
      <c r="B1300" s="9" t="s">
        <v>48</v>
      </c>
      <c r="C1300" s="9" t="s">
        <v>97</v>
      </c>
      <c r="D1300" s="9">
        <v>140</v>
      </c>
    </row>
    <row r="1301" spans="1:4" x14ac:dyDescent="0.3">
      <c r="A1301" s="9" t="s">
        <v>26</v>
      </c>
      <c r="B1301" s="9" t="s">
        <v>49</v>
      </c>
      <c r="C1301" s="9" t="s">
        <v>97</v>
      </c>
      <c r="D1301" s="9">
        <v>127</v>
      </c>
    </row>
    <row r="1302" spans="1:4" x14ac:dyDescent="0.3">
      <c r="A1302" s="9" t="s">
        <v>26</v>
      </c>
      <c r="B1302" s="9" t="s">
        <v>50</v>
      </c>
      <c r="C1302" s="9" t="s">
        <v>97</v>
      </c>
      <c r="D1302" s="9">
        <v>13</v>
      </c>
    </row>
    <row r="1303" spans="1:4" x14ac:dyDescent="0.3">
      <c r="A1303" s="9" t="s">
        <v>26</v>
      </c>
      <c r="B1303" s="9" t="s">
        <v>51</v>
      </c>
      <c r="C1303" s="9" t="s">
        <v>99</v>
      </c>
      <c r="D1303" s="9">
        <v>9453</v>
      </c>
    </row>
    <row r="1304" spans="1:4" x14ac:dyDescent="0.3">
      <c r="A1304" s="9" t="s">
        <v>26</v>
      </c>
      <c r="B1304" s="9" t="s">
        <v>52</v>
      </c>
      <c r="C1304" s="9" t="s">
        <v>99</v>
      </c>
      <c r="D1304" s="9">
        <v>8656</v>
      </c>
    </row>
    <row r="1305" spans="1:4" x14ac:dyDescent="0.3">
      <c r="A1305" s="9" t="s">
        <v>26</v>
      </c>
      <c r="B1305" s="9" t="s">
        <v>53</v>
      </c>
      <c r="C1305" s="9" t="s">
        <v>99</v>
      </c>
      <c r="D1305" s="9">
        <v>797</v>
      </c>
    </row>
    <row r="1306" spans="1:4" x14ac:dyDescent="0.3">
      <c r="A1306" s="9" t="s">
        <v>26</v>
      </c>
      <c r="B1306" s="9" t="s">
        <v>54</v>
      </c>
      <c r="C1306" s="9" t="s">
        <v>98</v>
      </c>
      <c r="D1306" s="9">
        <v>145</v>
      </c>
    </row>
    <row r="1307" spans="1:4" x14ac:dyDescent="0.3">
      <c r="A1307" s="9" t="s">
        <v>26</v>
      </c>
      <c r="B1307" s="9" t="s">
        <v>55</v>
      </c>
      <c r="C1307" s="9" t="s">
        <v>98</v>
      </c>
      <c r="D1307" s="9">
        <v>145</v>
      </c>
    </row>
    <row r="1308" spans="1:4" x14ac:dyDescent="0.3">
      <c r="A1308" s="9" t="s">
        <v>26</v>
      </c>
      <c r="B1308" s="9" t="s">
        <v>56</v>
      </c>
      <c r="C1308" s="9" t="s">
        <v>98</v>
      </c>
      <c r="D1308" s="9">
        <v>0</v>
      </c>
    </row>
    <row r="1309" spans="1:4" x14ac:dyDescent="0.3">
      <c r="A1309" s="9" t="s">
        <v>26</v>
      </c>
      <c r="B1309" s="9" t="s">
        <v>74</v>
      </c>
      <c r="C1309" s="9" t="s">
        <v>74</v>
      </c>
      <c r="D1309" s="9">
        <v>7151</v>
      </c>
    </row>
    <row r="1310" spans="1:4" x14ac:dyDescent="0.3">
      <c r="A1310" s="9" t="s">
        <v>26</v>
      </c>
      <c r="B1310" s="9" t="s">
        <v>57</v>
      </c>
      <c r="C1310" s="9" t="s">
        <v>100</v>
      </c>
      <c r="D1310" s="9">
        <v>53</v>
      </c>
    </row>
    <row r="1311" spans="1:4" x14ac:dyDescent="0.3">
      <c r="A1311" s="9" t="s">
        <v>26</v>
      </c>
      <c r="B1311" s="9" t="s">
        <v>76</v>
      </c>
      <c r="C1311" s="9" t="s">
        <v>100</v>
      </c>
      <c r="D1311" s="9">
        <v>7</v>
      </c>
    </row>
    <row r="1312" spans="1:4" x14ac:dyDescent="0.3">
      <c r="A1312" s="9" t="s">
        <v>26</v>
      </c>
      <c r="B1312" s="9" t="s">
        <v>58</v>
      </c>
      <c r="C1312" s="9" t="s">
        <v>100</v>
      </c>
      <c r="D1312" s="9">
        <v>8</v>
      </c>
    </row>
    <row r="1313" spans="1:4" x14ac:dyDescent="0.3">
      <c r="A1313" s="9" t="s">
        <v>26</v>
      </c>
      <c r="B1313" s="9" t="s">
        <v>59</v>
      </c>
      <c r="C1313" s="9" t="s">
        <v>100</v>
      </c>
      <c r="D1313" s="9">
        <v>9</v>
      </c>
    </row>
    <row r="1314" spans="1:4" x14ac:dyDescent="0.3">
      <c r="A1314" s="9" t="s">
        <v>26</v>
      </c>
      <c r="B1314" s="9" t="s">
        <v>60</v>
      </c>
      <c r="C1314" s="9" t="s">
        <v>100</v>
      </c>
      <c r="D1314" s="9">
        <v>1</v>
      </c>
    </row>
    <row r="1315" spans="1:4" x14ac:dyDescent="0.3">
      <c r="A1315" s="9" t="s">
        <v>26</v>
      </c>
      <c r="B1315" s="9" t="s">
        <v>61</v>
      </c>
      <c r="C1315" s="9" t="s">
        <v>100</v>
      </c>
      <c r="D1315" s="9">
        <v>28</v>
      </c>
    </row>
    <row r="1316" spans="1:4" x14ac:dyDescent="0.3">
      <c r="A1316" s="9" t="s">
        <v>26</v>
      </c>
      <c r="B1316" s="9" t="s">
        <v>78</v>
      </c>
      <c r="C1316" s="9" t="s">
        <v>95</v>
      </c>
      <c r="D1316" s="9">
        <v>3</v>
      </c>
    </row>
    <row r="1317" spans="1:4" x14ac:dyDescent="0.3">
      <c r="A1317" s="9" t="s">
        <v>26</v>
      </c>
      <c r="B1317" s="9" t="s">
        <v>62</v>
      </c>
      <c r="C1317" s="9" t="s">
        <v>101</v>
      </c>
      <c r="D1317" s="9">
        <v>485</v>
      </c>
    </row>
    <row r="1318" spans="1:4" x14ac:dyDescent="0.3">
      <c r="A1318" s="9" t="s">
        <v>26</v>
      </c>
      <c r="B1318" s="9" t="s">
        <v>63</v>
      </c>
      <c r="C1318" s="9" t="s">
        <v>101</v>
      </c>
      <c r="D1318" s="9">
        <v>389</v>
      </c>
    </row>
    <row r="1319" spans="1:4" x14ac:dyDescent="0.3">
      <c r="A1319" s="9" t="s">
        <v>26</v>
      </c>
      <c r="B1319" s="9" t="s">
        <v>64</v>
      </c>
      <c r="C1319" s="9" t="s">
        <v>101</v>
      </c>
      <c r="D1319" s="9">
        <v>96</v>
      </c>
    </row>
    <row r="1320" spans="1:4" x14ac:dyDescent="0.3">
      <c r="A1320" s="9" t="s">
        <v>26</v>
      </c>
      <c r="B1320" s="9" t="s">
        <v>77</v>
      </c>
      <c r="C1320" s="9" t="s">
        <v>102</v>
      </c>
      <c r="D1320" s="9">
        <v>8574</v>
      </c>
    </row>
    <row r="1321" spans="1:4" x14ac:dyDescent="0.3">
      <c r="A1321" s="9" t="s">
        <v>26</v>
      </c>
      <c r="B1321" s="9" t="s">
        <v>65</v>
      </c>
      <c r="C1321" s="9" t="s">
        <v>102</v>
      </c>
      <c r="D1321" s="9">
        <v>3645</v>
      </c>
    </row>
    <row r="1322" spans="1:4" x14ac:dyDescent="0.3">
      <c r="A1322" s="9" t="s">
        <v>26</v>
      </c>
      <c r="B1322" s="9" t="s">
        <v>66</v>
      </c>
      <c r="C1322" s="9" t="s">
        <v>102</v>
      </c>
      <c r="D1322" s="9">
        <v>4728</v>
      </c>
    </row>
    <row r="1323" spans="1:4" x14ac:dyDescent="0.3">
      <c r="A1323" s="9" t="s">
        <v>26</v>
      </c>
      <c r="B1323" s="9" t="s">
        <v>67</v>
      </c>
      <c r="C1323" s="9" t="s">
        <v>102</v>
      </c>
      <c r="D1323" s="9">
        <v>129</v>
      </c>
    </row>
    <row r="1324" spans="1:4" x14ac:dyDescent="0.3">
      <c r="A1324" s="9" t="s">
        <v>26</v>
      </c>
      <c r="B1324" s="9" t="s">
        <v>68</v>
      </c>
      <c r="C1324" s="9" t="s">
        <v>102</v>
      </c>
      <c r="D1324" s="9">
        <v>7</v>
      </c>
    </row>
    <row r="1325" spans="1:4" x14ac:dyDescent="0.3">
      <c r="A1325" s="9" t="s">
        <v>26</v>
      </c>
      <c r="B1325" s="9" t="s">
        <v>69</v>
      </c>
      <c r="C1325" s="9" t="s">
        <v>102</v>
      </c>
      <c r="D1325" s="9">
        <v>55</v>
      </c>
    </row>
    <row r="1326" spans="1:4" x14ac:dyDescent="0.3">
      <c r="A1326" s="9" t="s">
        <v>26</v>
      </c>
      <c r="B1326" s="9" t="s">
        <v>70</v>
      </c>
      <c r="C1326" s="9" t="s">
        <v>102</v>
      </c>
      <c r="D1326" s="9">
        <v>10</v>
      </c>
    </row>
    <row r="1327" spans="1:4" x14ac:dyDescent="0.3">
      <c r="A1327" s="9" t="s">
        <v>26</v>
      </c>
      <c r="B1327" s="9" t="s">
        <v>75</v>
      </c>
      <c r="C1327" s="9" t="s">
        <v>103</v>
      </c>
      <c r="D1327" s="9">
        <v>4</v>
      </c>
    </row>
    <row r="1328" spans="1:4" x14ac:dyDescent="0.3">
      <c r="A1328" s="9" t="s">
        <v>27</v>
      </c>
      <c r="B1328" s="9" t="s">
        <v>88</v>
      </c>
      <c r="C1328" s="9" t="s">
        <v>92</v>
      </c>
      <c r="D1328" s="9">
        <v>0</v>
      </c>
    </row>
    <row r="1329" spans="1:4" x14ac:dyDescent="0.3">
      <c r="A1329" s="9" t="s">
        <v>27</v>
      </c>
      <c r="B1329" s="9" t="s">
        <v>38</v>
      </c>
      <c r="C1329" s="9" t="s">
        <v>93</v>
      </c>
      <c r="D1329" s="9">
        <v>48</v>
      </c>
    </row>
    <row r="1330" spans="1:4" x14ac:dyDescent="0.3">
      <c r="A1330" s="9" t="s">
        <v>27</v>
      </c>
      <c r="B1330" s="9" t="s">
        <v>87</v>
      </c>
      <c r="C1330" s="9" t="s">
        <v>94</v>
      </c>
      <c r="D1330" s="9">
        <v>19</v>
      </c>
    </row>
    <row r="1331" spans="1:4" x14ac:dyDescent="0.3">
      <c r="A1331" s="9" t="s">
        <v>27</v>
      </c>
      <c r="B1331" s="9" t="s">
        <v>86</v>
      </c>
      <c r="C1331" s="9" t="s">
        <v>86</v>
      </c>
      <c r="D1331" s="9">
        <v>4</v>
      </c>
    </row>
    <row r="1332" spans="1:4" x14ac:dyDescent="0.3">
      <c r="A1332" s="9" t="s">
        <v>27</v>
      </c>
      <c r="B1332" s="9" t="s">
        <v>85</v>
      </c>
      <c r="C1332" s="9" t="s">
        <v>85</v>
      </c>
      <c r="D1332" s="9">
        <v>1</v>
      </c>
    </row>
    <row r="1333" spans="1:4" x14ac:dyDescent="0.3">
      <c r="A1333" s="9" t="s">
        <v>27</v>
      </c>
      <c r="B1333" s="9" t="s">
        <v>84</v>
      </c>
      <c r="C1333" s="9" t="s">
        <v>85</v>
      </c>
      <c r="D1333" s="9">
        <v>2</v>
      </c>
    </row>
    <row r="1334" spans="1:4" x14ac:dyDescent="0.3">
      <c r="A1334" s="9" t="s">
        <v>27</v>
      </c>
      <c r="B1334" s="9" t="s">
        <v>83</v>
      </c>
      <c r="C1334" s="9" t="s">
        <v>95</v>
      </c>
      <c r="D1334" s="9">
        <v>1016</v>
      </c>
    </row>
    <row r="1335" spans="1:4" x14ac:dyDescent="0.3">
      <c r="A1335" s="9" t="s">
        <v>27</v>
      </c>
      <c r="B1335" s="9" t="s">
        <v>39</v>
      </c>
      <c r="C1335" s="9" t="s">
        <v>40</v>
      </c>
      <c r="D1335" s="9">
        <v>698</v>
      </c>
    </row>
    <row r="1336" spans="1:4" x14ac:dyDescent="0.3">
      <c r="A1336" s="9" t="s">
        <v>27</v>
      </c>
      <c r="B1336" s="9" t="s">
        <v>40</v>
      </c>
      <c r="C1336" s="9" t="s">
        <v>40</v>
      </c>
      <c r="D1336" s="9">
        <v>136</v>
      </c>
    </row>
    <row r="1337" spans="1:4" x14ac:dyDescent="0.3">
      <c r="A1337" s="9" t="s">
        <v>27</v>
      </c>
      <c r="B1337" s="9" t="s">
        <v>41</v>
      </c>
      <c r="C1337" s="9" t="s">
        <v>40</v>
      </c>
      <c r="D1337" s="9">
        <v>0</v>
      </c>
    </row>
    <row r="1338" spans="1:4" x14ac:dyDescent="0.3">
      <c r="A1338" s="9" t="s">
        <v>27</v>
      </c>
      <c r="B1338" s="9" t="s">
        <v>42</v>
      </c>
      <c r="C1338" s="9" t="s">
        <v>40</v>
      </c>
      <c r="D1338" s="9">
        <v>0</v>
      </c>
    </row>
    <row r="1339" spans="1:4" x14ac:dyDescent="0.3">
      <c r="A1339" s="9" t="s">
        <v>27</v>
      </c>
      <c r="B1339" s="9" t="s">
        <v>43</v>
      </c>
      <c r="C1339" s="9" t="s">
        <v>40</v>
      </c>
      <c r="D1339" s="9">
        <v>82</v>
      </c>
    </row>
    <row r="1340" spans="1:4" x14ac:dyDescent="0.3">
      <c r="A1340" s="9" t="s">
        <v>27</v>
      </c>
      <c r="B1340" s="9" t="s">
        <v>44</v>
      </c>
      <c r="C1340" s="9" t="s">
        <v>40</v>
      </c>
      <c r="D1340" s="9">
        <v>79</v>
      </c>
    </row>
    <row r="1341" spans="1:4" x14ac:dyDescent="0.3">
      <c r="A1341" s="9" t="s">
        <v>27</v>
      </c>
      <c r="B1341" s="9" t="s">
        <v>45</v>
      </c>
      <c r="C1341" s="9" t="s">
        <v>40</v>
      </c>
      <c r="D1341" s="9">
        <v>3</v>
      </c>
    </row>
    <row r="1342" spans="1:4" x14ac:dyDescent="0.3">
      <c r="A1342" s="9" t="s">
        <v>27</v>
      </c>
      <c r="B1342" s="9" t="s">
        <v>71</v>
      </c>
      <c r="C1342" s="9" t="s">
        <v>40</v>
      </c>
      <c r="D1342" s="9">
        <v>0</v>
      </c>
    </row>
    <row r="1343" spans="1:4" x14ac:dyDescent="0.3">
      <c r="A1343" s="9" t="s">
        <v>27</v>
      </c>
      <c r="B1343" s="9" t="s">
        <v>72</v>
      </c>
      <c r="C1343" s="9" t="s">
        <v>40</v>
      </c>
      <c r="D1343" s="9">
        <v>0</v>
      </c>
    </row>
    <row r="1344" spans="1:4" x14ac:dyDescent="0.3">
      <c r="A1344" s="9" t="s">
        <v>27</v>
      </c>
      <c r="B1344" s="9" t="s">
        <v>82</v>
      </c>
      <c r="C1344" s="9" t="s">
        <v>40</v>
      </c>
      <c r="D1344" s="9">
        <v>480</v>
      </c>
    </row>
    <row r="1345" spans="1:4" x14ac:dyDescent="0.3">
      <c r="A1345" s="9" t="s">
        <v>27</v>
      </c>
      <c r="B1345" s="9" t="s">
        <v>81</v>
      </c>
      <c r="C1345" s="9" t="s">
        <v>81</v>
      </c>
      <c r="D1345" s="9">
        <v>4</v>
      </c>
    </row>
    <row r="1346" spans="1:4" x14ac:dyDescent="0.3">
      <c r="A1346" s="9" t="s">
        <v>27</v>
      </c>
      <c r="B1346" s="9" t="s">
        <v>73</v>
      </c>
      <c r="C1346" s="9" t="s">
        <v>81</v>
      </c>
      <c r="D1346" s="9">
        <v>0</v>
      </c>
    </row>
    <row r="1347" spans="1:4" x14ac:dyDescent="0.3">
      <c r="A1347" s="9" t="s">
        <v>27</v>
      </c>
      <c r="B1347" s="9" t="s">
        <v>80</v>
      </c>
      <c r="C1347" s="9" t="s">
        <v>81</v>
      </c>
      <c r="D1347" s="9">
        <v>0</v>
      </c>
    </row>
    <row r="1348" spans="1:4" x14ac:dyDescent="0.3">
      <c r="A1348" s="9" t="s">
        <v>27</v>
      </c>
      <c r="B1348" s="9" t="s">
        <v>79</v>
      </c>
      <c r="C1348" s="9" t="s">
        <v>96</v>
      </c>
      <c r="D1348" s="9">
        <v>421</v>
      </c>
    </row>
    <row r="1349" spans="1:4" x14ac:dyDescent="0.3">
      <c r="A1349" s="9" t="s">
        <v>27</v>
      </c>
      <c r="B1349" s="9" t="s">
        <v>46</v>
      </c>
      <c r="C1349" s="9" t="s">
        <v>96</v>
      </c>
      <c r="D1349" s="9">
        <v>421</v>
      </c>
    </row>
    <row r="1350" spans="1:4" x14ac:dyDescent="0.3">
      <c r="A1350" s="9" t="s">
        <v>27</v>
      </c>
      <c r="B1350" s="9" t="s">
        <v>47</v>
      </c>
      <c r="C1350" s="9" t="s">
        <v>96</v>
      </c>
      <c r="D1350" s="9">
        <v>0</v>
      </c>
    </row>
    <row r="1351" spans="1:4" x14ac:dyDescent="0.3">
      <c r="A1351" s="9" t="s">
        <v>27</v>
      </c>
      <c r="B1351" s="9" t="s">
        <v>48</v>
      </c>
      <c r="C1351" s="9" t="s">
        <v>97</v>
      </c>
      <c r="D1351" s="9">
        <v>20</v>
      </c>
    </row>
    <row r="1352" spans="1:4" x14ac:dyDescent="0.3">
      <c r="A1352" s="9" t="s">
        <v>27</v>
      </c>
      <c r="B1352" s="9" t="s">
        <v>49</v>
      </c>
      <c r="C1352" s="9" t="s">
        <v>97</v>
      </c>
      <c r="D1352" s="9">
        <v>18</v>
      </c>
    </row>
    <row r="1353" spans="1:4" x14ac:dyDescent="0.3">
      <c r="A1353" s="9" t="s">
        <v>27</v>
      </c>
      <c r="B1353" s="9" t="s">
        <v>50</v>
      </c>
      <c r="C1353" s="9" t="s">
        <v>97</v>
      </c>
      <c r="D1353" s="9">
        <v>2</v>
      </c>
    </row>
    <row r="1354" spans="1:4" x14ac:dyDescent="0.3">
      <c r="A1354" s="9" t="s">
        <v>27</v>
      </c>
      <c r="B1354" s="9" t="s">
        <v>51</v>
      </c>
      <c r="C1354" s="9" t="s">
        <v>99</v>
      </c>
      <c r="D1354" s="9">
        <v>624</v>
      </c>
    </row>
    <row r="1355" spans="1:4" x14ac:dyDescent="0.3">
      <c r="A1355" s="9" t="s">
        <v>27</v>
      </c>
      <c r="B1355" s="9" t="s">
        <v>52</v>
      </c>
      <c r="C1355" s="9" t="s">
        <v>99</v>
      </c>
      <c r="D1355" s="9">
        <v>590</v>
      </c>
    </row>
    <row r="1356" spans="1:4" x14ac:dyDescent="0.3">
      <c r="A1356" s="9" t="s">
        <v>27</v>
      </c>
      <c r="B1356" s="9" t="s">
        <v>53</v>
      </c>
      <c r="C1356" s="9" t="s">
        <v>99</v>
      </c>
      <c r="D1356" s="9">
        <v>34</v>
      </c>
    </row>
    <row r="1357" spans="1:4" x14ac:dyDescent="0.3">
      <c r="A1357" s="9" t="s">
        <v>27</v>
      </c>
      <c r="B1357" s="9" t="s">
        <v>54</v>
      </c>
      <c r="C1357" s="9" t="s">
        <v>98</v>
      </c>
      <c r="D1357" s="9">
        <v>26</v>
      </c>
    </row>
    <row r="1358" spans="1:4" x14ac:dyDescent="0.3">
      <c r="A1358" s="9" t="s">
        <v>27</v>
      </c>
      <c r="B1358" s="9" t="s">
        <v>55</v>
      </c>
      <c r="C1358" s="9" t="s">
        <v>98</v>
      </c>
      <c r="D1358" s="9">
        <v>26</v>
      </c>
    </row>
    <row r="1359" spans="1:4" x14ac:dyDescent="0.3">
      <c r="A1359" s="9" t="s">
        <v>27</v>
      </c>
      <c r="B1359" s="9" t="s">
        <v>56</v>
      </c>
      <c r="C1359" s="9" t="s">
        <v>98</v>
      </c>
      <c r="D1359" s="9">
        <v>0</v>
      </c>
    </row>
    <row r="1360" spans="1:4" x14ac:dyDescent="0.3">
      <c r="A1360" s="9" t="s">
        <v>27</v>
      </c>
      <c r="B1360" s="9" t="s">
        <v>74</v>
      </c>
      <c r="C1360" s="9" t="s">
        <v>74</v>
      </c>
      <c r="D1360" s="9">
        <v>14</v>
      </c>
    </row>
    <row r="1361" spans="1:4" x14ac:dyDescent="0.3">
      <c r="A1361" s="9" t="s">
        <v>27</v>
      </c>
      <c r="B1361" s="9" t="s">
        <v>57</v>
      </c>
      <c r="C1361" s="9" t="s">
        <v>100</v>
      </c>
      <c r="D1361" s="9">
        <v>26</v>
      </c>
    </row>
    <row r="1362" spans="1:4" x14ac:dyDescent="0.3">
      <c r="A1362" s="9" t="s">
        <v>27</v>
      </c>
      <c r="B1362" s="9" t="s">
        <v>76</v>
      </c>
      <c r="C1362" s="9" t="s">
        <v>100</v>
      </c>
      <c r="D1362" s="9">
        <v>6</v>
      </c>
    </row>
    <row r="1363" spans="1:4" x14ac:dyDescent="0.3">
      <c r="A1363" s="9" t="s">
        <v>27</v>
      </c>
      <c r="B1363" s="9" t="s">
        <v>58</v>
      </c>
      <c r="C1363" s="9" t="s">
        <v>100</v>
      </c>
      <c r="D1363" s="9">
        <v>6</v>
      </c>
    </row>
    <row r="1364" spans="1:4" x14ac:dyDescent="0.3">
      <c r="A1364" s="9" t="s">
        <v>27</v>
      </c>
      <c r="B1364" s="9" t="s">
        <v>59</v>
      </c>
      <c r="C1364" s="9" t="s">
        <v>100</v>
      </c>
      <c r="D1364" s="9">
        <v>0</v>
      </c>
    </row>
    <row r="1365" spans="1:4" x14ac:dyDescent="0.3">
      <c r="A1365" s="9" t="s">
        <v>27</v>
      </c>
      <c r="B1365" s="9" t="s">
        <v>60</v>
      </c>
      <c r="C1365" s="9" t="s">
        <v>100</v>
      </c>
      <c r="D1365" s="9">
        <v>0</v>
      </c>
    </row>
    <row r="1366" spans="1:4" x14ac:dyDescent="0.3">
      <c r="A1366" s="9" t="s">
        <v>27</v>
      </c>
      <c r="B1366" s="9" t="s">
        <v>61</v>
      </c>
      <c r="C1366" s="9" t="s">
        <v>100</v>
      </c>
      <c r="D1366" s="9">
        <v>14</v>
      </c>
    </row>
    <row r="1367" spans="1:4" x14ac:dyDescent="0.3">
      <c r="A1367" s="9" t="s">
        <v>27</v>
      </c>
      <c r="B1367" s="9" t="s">
        <v>78</v>
      </c>
      <c r="C1367" s="9" t="s">
        <v>95</v>
      </c>
      <c r="D1367" s="9">
        <v>0</v>
      </c>
    </row>
    <row r="1368" spans="1:4" x14ac:dyDescent="0.3">
      <c r="A1368" s="9" t="s">
        <v>27</v>
      </c>
      <c r="B1368" s="9" t="s">
        <v>62</v>
      </c>
      <c r="C1368" s="9" t="s">
        <v>101</v>
      </c>
      <c r="D1368" s="9">
        <v>77</v>
      </c>
    </row>
    <row r="1369" spans="1:4" x14ac:dyDescent="0.3">
      <c r="A1369" s="9" t="s">
        <v>27</v>
      </c>
      <c r="B1369" s="9" t="s">
        <v>63</v>
      </c>
      <c r="C1369" s="9" t="s">
        <v>101</v>
      </c>
      <c r="D1369" s="9">
        <v>51</v>
      </c>
    </row>
    <row r="1370" spans="1:4" x14ac:dyDescent="0.3">
      <c r="A1370" s="9" t="s">
        <v>27</v>
      </c>
      <c r="B1370" s="9" t="s">
        <v>64</v>
      </c>
      <c r="C1370" s="9" t="s">
        <v>101</v>
      </c>
      <c r="D1370" s="9">
        <v>26</v>
      </c>
    </row>
    <row r="1371" spans="1:4" x14ac:dyDescent="0.3">
      <c r="A1371" s="9" t="s">
        <v>27</v>
      </c>
      <c r="B1371" s="9" t="s">
        <v>77</v>
      </c>
      <c r="C1371" s="9" t="s">
        <v>102</v>
      </c>
      <c r="D1371" s="9">
        <v>808</v>
      </c>
    </row>
    <row r="1372" spans="1:4" x14ac:dyDescent="0.3">
      <c r="A1372" s="9" t="s">
        <v>27</v>
      </c>
      <c r="B1372" s="9" t="s">
        <v>65</v>
      </c>
      <c r="C1372" s="9" t="s">
        <v>102</v>
      </c>
      <c r="D1372" s="9">
        <v>635</v>
      </c>
    </row>
    <row r="1373" spans="1:4" x14ac:dyDescent="0.3">
      <c r="A1373" s="9" t="s">
        <v>27</v>
      </c>
      <c r="B1373" s="9" t="s">
        <v>66</v>
      </c>
      <c r="C1373" s="9" t="s">
        <v>102</v>
      </c>
      <c r="D1373" s="9">
        <v>121</v>
      </c>
    </row>
    <row r="1374" spans="1:4" x14ac:dyDescent="0.3">
      <c r="A1374" s="9" t="s">
        <v>27</v>
      </c>
      <c r="B1374" s="9" t="s">
        <v>67</v>
      </c>
      <c r="C1374" s="9" t="s">
        <v>102</v>
      </c>
      <c r="D1374" s="9">
        <v>27</v>
      </c>
    </row>
    <row r="1375" spans="1:4" x14ac:dyDescent="0.3">
      <c r="A1375" s="9" t="s">
        <v>27</v>
      </c>
      <c r="B1375" s="9" t="s">
        <v>68</v>
      </c>
      <c r="C1375" s="9" t="s">
        <v>102</v>
      </c>
      <c r="D1375" s="9">
        <v>9</v>
      </c>
    </row>
    <row r="1376" spans="1:4" x14ac:dyDescent="0.3">
      <c r="A1376" s="9" t="s">
        <v>27</v>
      </c>
      <c r="B1376" s="9" t="s">
        <v>69</v>
      </c>
      <c r="C1376" s="9" t="s">
        <v>102</v>
      </c>
      <c r="D1376" s="9">
        <v>13</v>
      </c>
    </row>
    <row r="1377" spans="1:4" x14ac:dyDescent="0.3">
      <c r="A1377" s="9" t="s">
        <v>27</v>
      </c>
      <c r="B1377" s="9" t="s">
        <v>70</v>
      </c>
      <c r="C1377" s="9" t="s">
        <v>102</v>
      </c>
      <c r="D1377" s="9">
        <v>3</v>
      </c>
    </row>
    <row r="1378" spans="1:4" x14ac:dyDescent="0.3">
      <c r="A1378" s="9" t="s">
        <v>27</v>
      </c>
      <c r="B1378" s="9" t="s">
        <v>75</v>
      </c>
      <c r="C1378" s="9" t="s">
        <v>103</v>
      </c>
      <c r="D1378" s="9">
        <v>0</v>
      </c>
    </row>
    <row r="1379" spans="1:4" x14ac:dyDescent="0.3">
      <c r="A1379" s="9" t="s">
        <v>28</v>
      </c>
      <c r="B1379" s="9" t="s">
        <v>88</v>
      </c>
      <c r="C1379" s="9" t="s">
        <v>92</v>
      </c>
      <c r="D1379" s="9">
        <v>7</v>
      </c>
    </row>
    <row r="1380" spans="1:4" x14ac:dyDescent="0.3">
      <c r="A1380" s="9" t="s">
        <v>28</v>
      </c>
      <c r="B1380" s="9" t="s">
        <v>38</v>
      </c>
      <c r="C1380" s="9" t="s">
        <v>93</v>
      </c>
      <c r="D1380" s="9">
        <v>350</v>
      </c>
    </row>
    <row r="1381" spans="1:4" x14ac:dyDescent="0.3">
      <c r="A1381" s="9" t="s">
        <v>28</v>
      </c>
      <c r="B1381" s="9" t="s">
        <v>87</v>
      </c>
      <c r="C1381" s="9" t="s">
        <v>94</v>
      </c>
      <c r="D1381" s="9">
        <v>419</v>
      </c>
    </row>
    <row r="1382" spans="1:4" x14ac:dyDescent="0.3">
      <c r="A1382" s="9" t="s">
        <v>28</v>
      </c>
      <c r="B1382" s="9" t="s">
        <v>86</v>
      </c>
      <c r="C1382" s="9" t="s">
        <v>86</v>
      </c>
      <c r="D1382" s="9">
        <v>16</v>
      </c>
    </row>
    <row r="1383" spans="1:4" x14ac:dyDescent="0.3">
      <c r="A1383" s="9" t="s">
        <v>28</v>
      </c>
      <c r="B1383" s="9" t="s">
        <v>85</v>
      </c>
      <c r="C1383" s="9" t="s">
        <v>85</v>
      </c>
      <c r="D1383" s="9">
        <v>31</v>
      </c>
    </row>
    <row r="1384" spans="1:4" x14ac:dyDescent="0.3">
      <c r="A1384" s="9" t="s">
        <v>28</v>
      </c>
      <c r="B1384" s="9" t="s">
        <v>84</v>
      </c>
      <c r="C1384" s="9" t="s">
        <v>85</v>
      </c>
      <c r="D1384" s="9">
        <v>6</v>
      </c>
    </row>
    <row r="1385" spans="1:4" x14ac:dyDescent="0.3">
      <c r="A1385" s="9" t="s">
        <v>28</v>
      </c>
      <c r="B1385" s="9" t="s">
        <v>83</v>
      </c>
      <c r="C1385" s="9" t="s">
        <v>95</v>
      </c>
      <c r="D1385" s="9">
        <v>19698</v>
      </c>
    </row>
    <row r="1386" spans="1:4" x14ac:dyDescent="0.3">
      <c r="A1386" s="9" t="s">
        <v>28</v>
      </c>
      <c r="B1386" s="9" t="s">
        <v>39</v>
      </c>
      <c r="C1386" s="9" t="s">
        <v>40</v>
      </c>
      <c r="D1386" s="9">
        <v>6544</v>
      </c>
    </row>
    <row r="1387" spans="1:4" x14ac:dyDescent="0.3">
      <c r="A1387" s="9" t="s">
        <v>28</v>
      </c>
      <c r="B1387" s="9" t="s">
        <v>40</v>
      </c>
      <c r="C1387" s="9" t="s">
        <v>40</v>
      </c>
      <c r="D1387" s="9">
        <v>3935</v>
      </c>
    </row>
    <row r="1388" spans="1:4" x14ac:dyDescent="0.3">
      <c r="A1388" s="9" t="s">
        <v>28</v>
      </c>
      <c r="B1388" s="9" t="s">
        <v>41</v>
      </c>
      <c r="C1388" s="9" t="s">
        <v>40</v>
      </c>
      <c r="D1388" s="9">
        <v>6</v>
      </c>
    </row>
    <row r="1389" spans="1:4" x14ac:dyDescent="0.3">
      <c r="A1389" s="9" t="s">
        <v>28</v>
      </c>
      <c r="B1389" s="9" t="s">
        <v>42</v>
      </c>
      <c r="C1389" s="9" t="s">
        <v>40</v>
      </c>
      <c r="D1389" s="9">
        <v>17</v>
      </c>
    </row>
    <row r="1390" spans="1:4" x14ac:dyDescent="0.3">
      <c r="A1390" s="9" t="s">
        <v>28</v>
      </c>
      <c r="B1390" s="9" t="s">
        <v>43</v>
      </c>
      <c r="C1390" s="9" t="s">
        <v>40</v>
      </c>
      <c r="D1390" s="9">
        <v>515</v>
      </c>
    </row>
    <row r="1391" spans="1:4" x14ac:dyDescent="0.3">
      <c r="A1391" s="9" t="s">
        <v>28</v>
      </c>
      <c r="B1391" s="9" t="s">
        <v>44</v>
      </c>
      <c r="C1391" s="9" t="s">
        <v>40</v>
      </c>
      <c r="D1391" s="9">
        <v>125</v>
      </c>
    </row>
    <row r="1392" spans="1:4" x14ac:dyDescent="0.3">
      <c r="A1392" s="9" t="s">
        <v>28</v>
      </c>
      <c r="B1392" s="9" t="s">
        <v>45</v>
      </c>
      <c r="C1392" s="9" t="s">
        <v>40</v>
      </c>
      <c r="D1392" s="9">
        <v>390</v>
      </c>
    </row>
    <row r="1393" spans="1:4" x14ac:dyDescent="0.3">
      <c r="A1393" s="9" t="s">
        <v>28</v>
      </c>
      <c r="B1393" s="9" t="s">
        <v>71</v>
      </c>
      <c r="C1393" s="9" t="s">
        <v>40</v>
      </c>
      <c r="D1393" s="9">
        <v>16</v>
      </c>
    </row>
    <row r="1394" spans="1:4" x14ac:dyDescent="0.3">
      <c r="A1394" s="9" t="s">
        <v>28</v>
      </c>
      <c r="B1394" s="9" t="s">
        <v>72</v>
      </c>
      <c r="C1394" s="9" t="s">
        <v>40</v>
      </c>
      <c r="D1394" s="9">
        <v>1</v>
      </c>
    </row>
    <row r="1395" spans="1:4" x14ac:dyDescent="0.3">
      <c r="A1395" s="9" t="s">
        <v>28</v>
      </c>
      <c r="B1395" s="9" t="s">
        <v>82</v>
      </c>
      <c r="C1395" s="9" t="s">
        <v>40</v>
      </c>
      <c r="D1395" s="9">
        <v>2054</v>
      </c>
    </row>
    <row r="1396" spans="1:4" x14ac:dyDescent="0.3">
      <c r="A1396" s="9" t="s">
        <v>28</v>
      </c>
      <c r="B1396" s="9" t="s">
        <v>81</v>
      </c>
      <c r="C1396" s="9" t="s">
        <v>81</v>
      </c>
      <c r="D1396" s="9">
        <v>29</v>
      </c>
    </row>
    <row r="1397" spans="1:4" x14ac:dyDescent="0.3">
      <c r="A1397" s="9" t="s">
        <v>28</v>
      </c>
      <c r="B1397" s="9" t="s">
        <v>73</v>
      </c>
      <c r="C1397" s="9" t="s">
        <v>81</v>
      </c>
      <c r="D1397" s="9">
        <v>2</v>
      </c>
    </row>
    <row r="1398" spans="1:4" x14ac:dyDescent="0.3">
      <c r="A1398" s="9" t="s">
        <v>28</v>
      </c>
      <c r="B1398" s="9" t="s">
        <v>80</v>
      </c>
      <c r="C1398" s="9" t="s">
        <v>81</v>
      </c>
      <c r="D1398" s="9">
        <v>0</v>
      </c>
    </row>
    <row r="1399" spans="1:4" x14ac:dyDescent="0.3">
      <c r="A1399" s="9" t="s">
        <v>28</v>
      </c>
      <c r="B1399" s="9" t="s">
        <v>79</v>
      </c>
      <c r="C1399" s="9" t="s">
        <v>96</v>
      </c>
      <c r="D1399" s="9">
        <v>1110</v>
      </c>
    </row>
    <row r="1400" spans="1:4" x14ac:dyDescent="0.3">
      <c r="A1400" s="9" t="s">
        <v>28</v>
      </c>
      <c r="B1400" s="9" t="s">
        <v>46</v>
      </c>
      <c r="C1400" s="9" t="s">
        <v>96</v>
      </c>
      <c r="D1400" s="9">
        <v>1110</v>
      </c>
    </row>
    <row r="1401" spans="1:4" x14ac:dyDescent="0.3">
      <c r="A1401" s="9" t="s">
        <v>28</v>
      </c>
      <c r="B1401" s="9" t="s">
        <v>47</v>
      </c>
      <c r="C1401" s="9" t="s">
        <v>96</v>
      </c>
      <c r="D1401" s="9">
        <v>0</v>
      </c>
    </row>
    <row r="1402" spans="1:4" x14ac:dyDescent="0.3">
      <c r="A1402" s="9" t="s">
        <v>28</v>
      </c>
      <c r="B1402" s="9" t="s">
        <v>48</v>
      </c>
      <c r="C1402" s="9" t="s">
        <v>97</v>
      </c>
      <c r="D1402" s="9">
        <v>825</v>
      </c>
    </row>
    <row r="1403" spans="1:4" x14ac:dyDescent="0.3">
      <c r="A1403" s="9" t="s">
        <v>28</v>
      </c>
      <c r="B1403" s="9" t="s">
        <v>49</v>
      </c>
      <c r="C1403" s="9" t="s">
        <v>97</v>
      </c>
      <c r="D1403" s="9">
        <v>825</v>
      </c>
    </row>
    <row r="1404" spans="1:4" x14ac:dyDescent="0.3">
      <c r="A1404" s="9" t="s">
        <v>28</v>
      </c>
      <c r="B1404" s="9" t="s">
        <v>50</v>
      </c>
      <c r="C1404" s="9" t="s">
        <v>97</v>
      </c>
      <c r="D1404" s="9">
        <v>0</v>
      </c>
    </row>
    <row r="1405" spans="1:4" x14ac:dyDescent="0.3">
      <c r="A1405" s="9" t="s">
        <v>28</v>
      </c>
      <c r="B1405" s="9" t="s">
        <v>51</v>
      </c>
      <c r="C1405" s="9" t="s">
        <v>99</v>
      </c>
      <c r="D1405" s="9">
        <v>2479</v>
      </c>
    </row>
    <row r="1406" spans="1:4" x14ac:dyDescent="0.3">
      <c r="A1406" s="9" t="s">
        <v>28</v>
      </c>
      <c r="B1406" s="9" t="s">
        <v>52</v>
      </c>
      <c r="C1406" s="9" t="s">
        <v>99</v>
      </c>
      <c r="D1406" s="9">
        <v>2479</v>
      </c>
    </row>
    <row r="1407" spans="1:4" x14ac:dyDescent="0.3">
      <c r="A1407" s="9" t="s">
        <v>28</v>
      </c>
      <c r="B1407" s="9" t="s">
        <v>53</v>
      </c>
      <c r="C1407" s="9" t="s">
        <v>99</v>
      </c>
      <c r="D1407" s="9">
        <v>0</v>
      </c>
    </row>
    <row r="1408" spans="1:4" x14ac:dyDescent="0.3">
      <c r="A1408" s="9" t="s">
        <v>28</v>
      </c>
      <c r="B1408" s="9" t="s">
        <v>54</v>
      </c>
      <c r="C1408" s="9" t="s">
        <v>98</v>
      </c>
      <c r="D1408" s="9">
        <v>412</v>
      </c>
    </row>
    <row r="1409" spans="1:4" x14ac:dyDescent="0.3">
      <c r="A1409" s="9" t="s">
        <v>28</v>
      </c>
      <c r="B1409" s="9" t="s">
        <v>55</v>
      </c>
      <c r="C1409" s="9" t="s">
        <v>98</v>
      </c>
      <c r="D1409" s="9">
        <v>412</v>
      </c>
    </row>
    <row r="1410" spans="1:4" x14ac:dyDescent="0.3">
      <c r="A1410" s="9" t="s">
        <v>28</v>
      </c>
      <c r="B1410" s="9" t="s">
        <v>56</v>
      </c>
      <c r="C1410" s="9" t="s">
        <v>98</v>
      </c>
      <c r="D1410" s="9">
        <v>0</v>
      </c>
    </row>
    <row r="1411" spans="1:4" x14ac:dyDescent="0.3">
      <c r="A1411" s="9" t="s">
        <v>28</v>
      </c>
      <c r="B1411" s="9" t="s">
        <v>74</v>
      </c>
      <c r="C1411" s="9" t="s">
        <v>74</v>
      </c>
      <c r="D1411" s="9">
        <v>0</v>
      </c>
    </row>
    <row r="1412" spans="1:4" x14ac:dyDescent="0.3">
      <c r="A1412" s="9" t="s">
        <v>28</v>
      </c>
      <c r="B1412" s="9" t="s">
        <v>57</v>
      </c>
      <c r="C1412" s="9" t="s">
        <v>100</v>
      </c>
      <c r="D1412" s="9">
        <v>32</v>
      </c>
    </row>
    <row r="1413" spans="1:4" x14ac:dyDescent="0.3">
      <c r="A1413" s="9" t="s">
        <v>28</v>
      </c>
      <c r="B1413" s="9" t="s">
        <v>76</v>
      </c>
      <c r="C1413" s="9" t="s">
        <v>100</v>
      </c>
      <c r="D1413" s="9">
        <v>0</v>
      </c>
    </row>
    <row r="1414" spans="1:4" x14ac:dyDescent="0.3">
      <c r="A1414" s="9" t="s">
        <v>28</v>
      </c>
      <c r="B1414" s="9" t="s">
        <v>58</v>
      </c>
      <c r="C1414" s="9" t="s">
        <v>100</v>
      </c>
      <c r="D1414" s="9">
        <v>0</v>
      </c>
    </row>
    <row r="1415" spans="1:4" x14ac:dyDescent="0.3">
      <c r="A1415" s="9" t="s">
        <v>28</v>
      </c>
      <c r="B1415" s="9" t="s">
        <v>59</v>
      </c>
      <c r="C1415" s="9" t="s">
        <v>100</v>
      </c>
      <c r="D1415" s="9">
        <v>0</v>
      </c>
    </row>
    <row r="1416" spans="1:4" x14ac:dyDescent="0.3">
      <c r="A1416" s="9" t="s">
        <v>28</v>
      </c>
      <c r="B1416" s="9" t="s">
        <v>60</v>
      </c>
      <c r="C1416" s="9" t="s">
        <v>100</v>
      </c>
      <c r="D1416" s="9">
        <v>0</v>
      </c>
    </row>
    <row r="1417" spans="1:4" x14ac:dyDescent="0.3">
      <c r="A1417" s="9" t="s">
        <v>28</v>
      </c>
      <c r="B1417" s="9" t="s">
        <v>61</v>
      </c>
      <c r="C1417" s="9" t="s">
        <v>100</v>
      </c>
      <c r="D1417" s="9">
        <v>32</v>
      </c>
    </row>
    <row r="1418" spans="1:4" x14ac:dyDescent="0.3">
      <c r="A1418" s="9" t="s">
        <v>28</v>
      </c>
      <c r="B1418" s="9" t="s">
        <v>78</v>
      </c>
      <c r="C1418" s="9" t="s">
        <v>95</v>
      </c>
      <c r="D1418" s="9">
        <v>0</v>
      </c>
    </row>
    <row r="1419" spans="1:4" x14ac:dyDescent="0.3">
      <c r="A1419" s="9" t="s">
        <v>28</v>
      </c>
      <c r="B1419" s="9" t="s">
        <v>62</v>
      </c>
      <c r="C1419" s="9" t="s">
        <v>101</v>
      </c>
      <c r="D1419" s="9">
        <v>9</v>
      </c>
    </row>
    <row r="1420" spans="1:4" x14ac:dyDescent="0.3">
      <c r="A1420" s="9" t="s">
        <v>28</v>
      </c>
      <c r="B1420" s="9" t="s">
        <v>63</v>
      </c>
      <c r="C1420" s="9" t="s">
        <v>101</v>
      </c>
      <c r="D1420" s="9">
        <v>6</v>
      </c>
    </row>
    <row r="1421" spans="1:4" x14ac:dyDescent="0.3">
      <c r="A1421" s="9" t="s">
        <v>28</v>
      </c>
      <c r="B1421" s="9" t="s">
        <v>64</v>
      </c>
      <c r="C1421" s="9" t="s">
        <v>101</v>
      </c>
      <c r="D1421" s="9">
        <v>3</v>
      </c>
    </row>
    <row r="1422" spans="1:4" x14ac:dyDescent="0.3">
      <c r="A1422" s="9" t="s">
        <v>28</v>
      </c>
      <c r="B1422" s="9" t="s">
        <v>77</v>
      </c>
      <c r="C1422" s="9" t="s">
        <v>102</v>
      </c>
      <c r="D1422" s="9">
        <v>2721</v>
      </c>
    </row>
    <row r="1423" spans="1:4" x14ac:dyDescent="0.3">
      <c r="A1423" s="9" t="s">
        <v>28</v>
      </c>
      <c r="B1423" s="9" t="s">
        <v>65</v>
      </c>
      <c r="C1423" s="9" t="s">
        <v>102</v>
      </c>
      <c r="D1423" s="9">
        <v>1798</v>
      </c>
    </row>
    <row r="1424" spans="1:4" x14ac:dyDescent="0.3">
      <c r="A1424" s="9" t="s">
        <v>28</v>
      </c>
      <c r="B1424" s="9" t="s">
        <v>66</v>
      </c>
      <c r="C1424" s="9" t="s">
        <v>102</v>
      </c>
      <c r="D1424" s="9">
        <v>644</v>
      </c>
    </row>
    <row r="1425" spans="1:4" x14ac:dyDescent="0.3">
      <c r="A1425" s="9" t="s">
        <v>28</v>
      </c>
      <c r="B1425" s="9" t="s">
        <v>67</v>
      </c>
      <c r="C1425" s="9" t="s">
        <v>102</v>
      </c>
      <c r="D1425" s="9">
        <v>244</v>
      </c>
    </row>
    <row r="1426" spans="1:4" x14ac:dyDescent="0.3">
      <c r="A1426" s="9" t="s">
        <v>28</v>
      </c>
      <c r="B1426" s="9" t="s">
        <v>68</v>
      </c>
      <c r="C1426" s="9" t="s">
        <v>102</v>
      </c>
      <c r="D1426" s="9">
        <v>29</v>
      </c>
    </row>
    <row r="1427" spans="1:4" x14ac:dyDescent="0.3">
      <c r="A1427" s="9" t="s">
        <v>28</v>
      </c>
      <c r="B1427" s="9" t="s">
        <v>69</v>
      </c>
      <c r="C1427" s="9" t="s">
        <v>102</v>
      </c>
      <c r="D1427" s="9">
        <v>6</v>
      </c>
    </row>
    <row r="1428" spans="1:4" x14ac:dyDescent="0.3">
      <c r="A1428" s="9" t="s">
        <v>28</v>
      </c>
      <c r="B1428" s="9" t="s">
        <v>70</v>
      </c>
      <c r="C1428" s="9" t="s">
        <v>102</v>
      </c>
      <c r="D1428" s="9">
        <v>0</v>
      </c>
    </row>
    <row r="1429" spans="1:4" x14ac:dyDescent="0.3">
      <c r="A1429" s="9" t="s">
        <v>28</v>
      </c>
      <c r="B1429" s="9" t="s">
        <v>75</v>
      </c>
      <c r="C1429" s="9" t="s">
        <v>103</v>
      </c>
      <c r="D1429" s="9">
        <v>1</v>
      </c>
    </row>
    <row r="1430" spans="1:4" x14ac:dyDescent="0.3">
      <c r="A1430" s="9" t="s">
        <v>29</v>
      </c>
      <c r="B1430" s="9" t="s">
        <v>88</v>
      </c>
      <c r="C1430" s="9" t="s">
        <v>92</v>
      </c>
      <c r="D1430" s="9">
        <v>0</v>
      </c>
    </row>
    <row r="1431" spans="1:4" x14ac:dyDescent="0.3">
      <c r="A1431" s="9" t="s">
        <v>29</v>
      </c>
      <c r="B1431" s="9" t="s">
        <v>38</v>
      </c>
      <c r="C1431" s="9" t="s">
        <v>93</v>
      </c>
      <c r="D1431" s="9">
        <v>0</v>
      </c>
    </row>
    <row r="1432" spans="1:4" x14ac:dyDescent="0.3">
      <c r="A1432" s="9" t="s">
        <v>29</v>
      </c>
      <c r="B1432" s="9" t="s">
        <v>87</v>
      </c>
      <c r="C1432" s="9" t="s">
        <v>94</v>
      </c>
      <c r="D1432" s="9">
        <v>2</v>
      </c>
    </row>
    <row r="1433" spans="1:4" x14ac:dyDescent="0.3">
      <c r="A1433" s="9" t="s">
        <v>29</v>
      </c>
      <c r="B1433" s="9" t="s">
        <v>86</v>
      </c>
      <c r="C1433" s="9" t="s">
        <v>86</v>
      </c>
      <c r="D1433" s="9">
        <v>0</v>
      </c>
    </row>
    <row r="1434" spans="1:4" x14ac:dyDescent="0.3">
      <c r="A1434" s="9" t="s">
        <v>29</v>
      </c>
      <c r="B1434" s="9" t="s">
        <v>85</v>
      </c>
      <c r="C1434" s="9" t="s">
        <v>85</v>
      </c>
      <c r="D1434" s="9">
        <v>0</v>
      </c>
    </row>
    <row r="1435" spans="1:4" x14ac:dyDescent="0.3">
      <c r="A1435" s="9" t="s">
        <v>29</v>
      </c>
      <c r="B1435" s="9" t="s">
        <v>84</v>
      </c>
      <c r="C1435" s="9" t="s">
        <v>85</v>
      </c>
      <c r="D1435" s="9">
        <v>0</v>
      </c>
    </row>
    <row r="1436" spans="1:4" x14ac:dyDescent="0.3">
      <c r="A1436" s="9" t="s">
        <v>29</v>
      </c>
      <c r="B1436" s="9" t="s">
        <v>83</v>
      </c>
      <c r="C1436" s="9" t="s">
        <v>95</v>
      </c>
      <c r="D1436" s="9">
        <v>6</v>
      </c>
    </row>
    <row r="1437" spans="1:4" x14ac:dyDescent="0.3">
      <c r="A1437" s="9" t="s">
        <v>29</v>
      </c>
      <c r="B1437" s="9" t="s">
        <v>39</v>
      </c>
      <c r="C1437" s="9" t="s">
        <v>40</v>
      </c>
      <c r="D1437" s="9">
        <v>16</v>
      </c>
    </row>
    <row r="1438" spans="1:4" x14ac:dyDescent="0.3">
      <c r="A1438" s="9" t="s">
        <v>29</v>
      </c>
      <c r="B1438" s="9" t="s">
        <v>40</v>
      </c>
      <c r="C1438" s="9" t="s">
        <v>40</v>
      </c>
      <c r="D1438" s="9">
        <v>16</v>
      </c>
    </row>
    <row r="1439" spans="1:4" x14ac:dyDescent="0.3">
      <c r="A1439" s="9" t="s">
        <v>29</v>
      </c>
      <c r="B1439" s="9" t="s">
        <v>41</v>
      </c>
      <c r="C1439" s="9" t="s">
        <v>40</v>
      </c>
      <c r="D1439" s="9">
        <v>0</v>
      </c>
    </row>
    <row r="1440" spans="1:4" x14ac:dyDescent="0.3">
      <c r="A1440" s="9" t="s">
        <v>29</v>
      </c>
      <c r="B1440" s="9" t="s">
        <v>42</v>
      </c>
      <c r="C1440" s="9" t="s">
        <v>40</v>
      </c>
      <c r="D1440" s="9">
        <v>0</v>
      </c>
    </row>
    <row r="1441" spans="1:4" x14ac:dyDescent="0.3">
      <c r="A1441" s="9" t="s">
        <v>29</v>
      </c>
      <c r="B1441" s="9" t="s">
        <v>43</v>
      </c>
      <c r="C1441" s="9" t="s">
        <v>40</v>
      </c>
      <c r="D1441" s="9">
        <v>0</v>
      </c>
    </row>
    <row r="1442" spans="1:4" x14ac:dyDescent="0.3">
      <c r="A1442" s="9" t="s">
        <v>29</v>
      </c>
      <c r="B1442" s="9" t="s">
        <v>44</v>
      </c>
      <c r="C1442" s="9" t="s">
        <v>40</v>
      </c>
      <c r="D1442" s="9">
        <v>0</v>
      </c>
    </row>
    <row r="1443" spans="1:4" x14ac:dyDescent="0.3">
      <c r="A1443" s="9" t="s">
        <v>29</v>
      </c>
      <c r="B1443" s="9" t="s">
        <v>45</v>
      </c>
      <c r="C1443" s="9" t="s">
        <v>40</v>
      </c>
      <c r="D1443" s="9">
        <v>0</v>
      </c>
    </row>
    <row r="1444" spans="1:4" x14ac:dyDescent="0.3">
      <c r="A1444" s="9" t="s">
        <v>29</v>
      </c>
      <c r="B1444" s="9" t="s">
        <v>71</v>
      </c>
      <c r="C1444" s="9" t="s">
        <v>40</v>
      </c>
      <c r="D1444" s="9">
        <v>0</v>
      </c>
    </row>
    <row r="1445" spans="1:4" x14ac:dyDescent="0.3">
      <c r="A1445" s="9" t="s">
        <v>29</v>
      </c>
      <c r="B1445" s="9" t="s">
        <v>72</v>
      </c>
      <c r="C1445" s="9" t="s">
        <v>40</v>
      </c>
      <c r="D1445" s="9">
        <v>0</v>
      </c>
    </row>
    <row r="1446" spans="1:4" x14ac:dyDescent="0.3">
      <c r="A1446" s="9" t="s">
        <v>29</v>
      </c>
      <c r="B1446" s="9" t="s">
        <v>82</v>
      </c>
      <c r="C1446" s="9" t="s">
        <v>40</v>
      </c>
      <c r="D1446" s="9">
        <v>0</v>
      </c>
    </row>
    <row r="1447" spans="1:4" x14ac:dyDescent="0.3">
      <c r="A1447" s="9" t="s">
        <v>29</v>
      </c>
      <c r="B1447" s="9" t="s">
        <v>81</v>
      </c>
      <c r="C1447" s="9" t="s">
        <v>81</v>
      </c>
      <c r="D1447" s="9">
        <v>0</v>
      </c>
    </row>
    <row r="1448" spans="1:4" x14ac:dyDescent="0.3">
      <c r="A1448" s="9" t="s">
        <v>29</v>
      </c>
      <c r="B1448" s="9" t="s">
        <v>73</v>
      </c>
      <c r="C1448" s="9" t="s">
        <v>81</v>
      </c>
      <c r="D1448" s="9">
        <v>0</v>
      </c>
    </row>
    <row r="1449" spans="1:4" x14ac:dyDescent="0.3">
      <c r="A1449" s="9" t="s">
        <v>29</v>
      </c>
      <c r="B1449" s="9" t="s">
        <v>80</v>
      </c>
      <c r="C1449" s="9" t="s">
        <v>81</v>
      </c>
      <c r="D1449" s="9">
        <v>0</v>
      </c>
    </row>
    <row r="1450" spans="1:4" x14ac:dyDescent="0.3">
      <c r="A1450" s="9" t="s">
        <v>29</v>
      </c>
      <c r="B1450" s="9" t="s">
        <v>79</v>
      </c>
      <c r="C1450" s="9" t="s">
        <v>96</v>
      </c>
      <c r="D1450" s="9">
        <v>14</v>
      </c>
    </row>
    <row r="1451" spans="1:4" x14ac:dyDescent="0.3">
      <c r="A1451" s="9" t="s">
        <v>29</v>
      </c>
      <c r="B1451" s="9" t="s">
        <v>46</v>
      </c>
      <c r="C1451" s="9" t="s">
        <v>96</v>
      </c>
      <c r="D1451" s="9">
        <v>14</v>
      </c>
    </row>
    <row r="1452" spans="1:4" x14ac:dyDescent="0.3">
      <c r="A1452" s="9" t="s">
        <v>29</v>
      </c>
      <c r="B1452" s="9" t="s">
        <v>47</v>
      </c>
      <c r="C1452" s="9" t="s">
        <v>96</v>
      </c>
      <c r="D1452" s="9">
        <v>0</v>
      </c>
    </row>
    <row r="1453" spans="1:4" x14ac:dyDescent="0.3">
      <c r="A1453" s="9" t="s">
        <v>29</v>
      </c>
      <c r="B1453" s="9" t="s">
        <v>48</v>
      </c>
      <c r="C1453" s="9" t="s">
        <v>97</v>
      </c>
      <c r="D1453" s="9">
        <v>0</v>
      </c>
    </row>
    <row r="1454" spans="1:4" x14ac:dyDescent="0.3">
      <c r="A1454" s="9" t="s">
        <v>29</v>
      </c>
      <c r="B1454" s="9" t="s">
        <v>49</v>
      </c>
      <c r="C1454" s="9" t="s">
        <v>97</v>
      </c>
      <c r="D1454" s="9">
        <v>0</v>
      </c>
    </row>
    <row r="1455" spans="1:4" x14ac:dyDescent="0.3">
      <c r="A1455" s="9" t="s">
        <v>29</v>
      </c>
      <c r="B1455" s="9" t="s">
        <v>50</v>
      </c>
      <c r="C1455" s="9" t="s">
        <v>97</v>
      </c>
      <c r="D1455" s="9">
        <v>0</v>
      </c>
    </row>
    <row r="1456" spans="1:4" x14ac:dyDescent="0.3">
      <c r="A1456" s="9" t="s">
        <v>29</v>
      </c>
      <c r="B1456" s="9" t="s">
        <v>51</v>
      </c>
      <c r="C1456" s="9" t="s">
        <v>99</v>
      </c>
      <c r="D1456" s="9">
        <v>31</v>
      </c>
    </row>
    <row r="1457" spans="1:4" x14ac:dyDescent="0.3">
      <c r="A1457" s="9" t="s">
        <v>29</v>
      </c>
      <c r="B1457" s="9" t="s">
        <v>52</v>
      </c>
      <c r="C1457" s="9" t="s">
        <v>99</v>
      </c>
      <c r="D1457" s="9">
        <v>31</v>
      </c>
    </row>
    <row r="1458" spans="1:4" x14ac:dyDescent="0.3">
      <c r="A1458" s="9" t="s">
        <v>29</v>
      </c>
      <c r="B1458" s="9" t="s">
        <v>53</v>
      </c>
      <c r="C1458" s="9" t="s">
        <v>99</v>
      </c>
      <c r="D1458" s="9">
        <v>0</v>
      </c>
    </row>
    <row r="1459" spans="1:4" x14ac:dyDescent="0.3">
      <c r="A1459" s="9" t="s">
        <v>29</v>
      </c>
      <c r="B1459" s="9" t="s">
        <v>54</v>
      </c>
      <c r="C1459" s="9" t="s">
        <v>98</v>
      </c>
      <c r="D1459" s="9">
        <v>12</v>
      </c>
    </row>
    <row r="1460" spans="1:4" x14ac:dyDescent="0.3">
      <c r="A1460" s="9" t="s">
        <v>29</v>
      </c>
      <c r="B1460" s="9" t="s">
        <v>55</v>
      </c>
      <c r="C1460" s="9" t="s">
        <v>98</v>
      </c>
      <c r="D1460" s="9">
        <v>12</v>
      </c>
    </row>
    <row r="1461" spans="1:4" x14ac:dyDescent="0.3">
      <c r="A1461" s="9" t="s">
        <v>29</v>
      </c>
      <c r="B1461" s="9" t="s">
        <v>56</v>
      </c>
      <c r="C1461" s="9" t="s">
        <v>98</v>
      </c>
      <c r="D1461" s="9">
        <v>0</v>
      </c>
    </row>
    <row r="1462" spans="1:4" x14ac:dyDescent="0.3">
      <c r="A1462" s="9" t="s">
        <v>29</v>
      </c>
      <c r="B1462" s="9" t="s">
        <v>74</v>
      </c>
      <c r="C1462" s="9" t="s">
        <v>74</v>
      </c>
      <c r="D1462" s="9">
        <v>0</v>
      </c>
    </row>
    <row r="1463" spans="1:4" x14ac:dyDescent="0.3">
      <c r="A1463" s="9" t="s">
        <v>29</v>
      </c>
      <c r="B1463" s="9" t="s">
        <v>57</v>
      </c>
      <c r="C1463" s="9" t="s">
        <v>100</v>
      </c>
      <c r="D1463" s="9">
        <v>0</v>
      </c>
    </row>
    <row r="1464" spans="1:4" x14ac:dyDescent="0.3">
      <c r="A1464" s="9" t="s">
        <v>29</v>
      </c>
      <c r="B1464" s="9" t="s">
        <v>76</v>
      </c>
      <c r="C1464" s="9" t="s">
        <v>100</v>
      </c>
      <c r="D1464" s="9">
        <v>0</v>
      </c>
    </row>
    <row r="1465" spans="1:4" x14ac:dyDescent="0.3">
      <c r="A1465" s="9" t="s">
        <v>29</v>
      </c>
      <c r="B1465" s="9" t="s">
        <v>58</v>
      </c>
      <c r="C1465" s="9" t="s">
        <v>100</v>
      </c>
      <c r="D1465" s="9">
        <v>0</v>
      </c>
    </row>
    <row r="1466" spans="1:4" x14ac:dyDescent="0.3">
      <c r="A1466" s="9" t="s">
        <v>29</v>
      </c>
      <c r="B1466" s="9" t="s">
        <v>59</v>
      </c>
      <c r="C1466" s="9" t="s">
        <v>100</v>
      </c>
      <c r="D1466" s="9">
        <v>0</v>
      </c>
    </row>
    <row r="1467" spans="1:4" x14ac:dyDescent="0.3">
      <c r="A1467" s="9" t="s">
        <v>29</v>
      </c>
      <c r="B1467" s="9" t="s">
        <v>60</v>
      </c>
      <c r="C1467" s="9" t="s">
        <v>100</v>
      </c>
      <c r="D1467" s="9">
        <v>0</v>
      </c>
    </row>
    <row r="1468" spans="1:4" x14ac:dyDescent="0.3">
      <c r="A1468" s="9" t="s">
        <v>29</v>
      </c>
      <c r="B1468" s="9" t="s">
        <v>61</v>
      </c>
      <c r="C1468" s="9" t="s">
        <v>100</v>
      </c>
      <c r="D1468" s="9">
        <v>0</v>
      </c>
    </row>
    <row r="1469" spans="1:4" x14ac:dyDescent="0.3">
      <c r="A1469" s="9" t="s">
        <v>29</v>
      </c>
      <c r="B1469" s="9" t="s">
        <v>78</v>
      </c>
      <c r="C1469" s="9" t="s">
        <v>95</v>
      </c>
      <c r="D1469" s="9">
        <v>0</v>
      </c>
    </row>
    <row r="1470" spans="1:4" x14ac:dyDescent="0.3">
      <c r="A1470" s="9" t="s">
        <v>29</v>
      </c>
      <c r="B1470" s="9" t="s">
        <v>62</v>
      </c>
      <c r="C1470" s="9" t="s">
        <v>101</v>
      </c>
      <c r="D1470" s="9">
        <v>29</v>
      </c>
    </row>
    <row r="1471" spans="1:4" x14ac:dyDescent="0.3">
      <c r="A1471" s="9" t="s">
        <v>29</v>
      </c>
      <c r="B1471" s="9" t="s">
        <v>63</v>
      </c>
      <c r="C1471" s="9" t="s">
        <v>101</v>
      </c>
      <c r="D1471" s="9">
        <v>27</v>
      </c>
    </row>
    <row r="1472" spans="1:4" x14ac:dyDescent="0.3">
      <c r="A1472" s="9" t="s">
        <v>29</v>
      </c>
      <c r="B1472" s="9" t="s">
        <v>64</v>
      </c>
      <c r="C1472" s="9" t="s">
        <v>101</v>
      </c>
      <c r="D1472" s="9">
        <v>2</v>
      </c>
    </row>
    <row r="1473" spans="1:4" x14ac:dyDescent="0.3">
      <c r="A1473" s="9" t="s">
        <v>29</v>
      </c>
      <c r="B1473" s="9" t="s">
        <v>77</v>
      </c>
      <c r="C1473" s="9" t="s">
        <v>102</v>
      </c>
      <c r="D1473" s="9">
        <v>95</v>
      </c>
    </row>
    <row r="1474" spans="1:4" x14ac:dyDescent="0.3">
      <c r="A1474" s="9" t="s">
        <v>29</v>
      </c>
      <c r="B1474" s="9" t="s">
        <v>65</v>
      </c>
      <c r="C1474" s="9" t="s">
        <v>102</v>
      </c>
      <c r="D1474" s="9">
        <v>75</v>
      </c>
    </row>
    <row r="1475" spans="1:4" x14ac:dyDescent="0.3">
      <c r="A1475" s="9" t="s">
        <v>29</v>
      </c>
      <c r="B1475" s="9" t="s">
        <v>66</v>
      </c>
      <c r="C1475" s="9" t="s">
        <v>102</v>
      </c>
      <c r="D1475" s="9">
        <v>16</v>
      </c>
    </row>
    <row r="1476" spans="1:4" x14ac:dyDescent="0.3">
      <c r="A1476" s="9" t="s">
        <v>29</v>
      </c>
      <c r="B1476" s="9" t="s">
        <v>67</v>
      </c>
      <c r="C1476" s="9" t="s">
        <v>102</v>
      </c>
      <c r="D1476" s="9">
        <v>4</v>
      </c>
    </row>
    <row r="1477" spans="1:4" x14ac:dyDescent="0.3">
      <c r="A1477" s="9" t="s">
        <v>29</v>
      </c>
      <c r="B1477" s="9" t="s">
        <v>68</v>
      </c>
      <c r="C1477" s="9" t="s">
        <v>102</v>
      </c>
      <c r="D1477" s="9">
        <v>0</v>
      </c>
    </row>
    <row r="1478" spans="1:4" x14ac:dyDescent="0.3">
      <c r="A1478" s="9" t="s">
        <v>29</v>
      </c>
      <c r="B1478" s="9" t="s">
        <v>69</v>
      </c>
      <c r="C1478" s="9" t="s">
        <v>102</v>
      </c>
      <c r="D1478" s="9">
        <v>0</v>
      </c>
    </row>
    <row r="1479" spans="1:4" x14ac:dyDescent="0.3">
      <c r="A1479" s="9" t="s">
        <v>29</v>
      </c>
      <c r="B1479" s="9" t="s">
        <v>70</v>
      </c>
      <c r="C1479" s="9" t="s">
        <v>102</v>
      </c>
      <c r="D1479" s="9">
        <v>0</v>
      </c>
    </row>
    <row r="1480" spans="1:4" x14ac:dyDescent="0.3">
      <c r="A1480" s="9" t="s">
        <v>29</v>
      </c>
      <c r="B1480" s="9" t="s">
        <v>75</v>
      </c>
      <c r="C1480" s="9" t="s">
        <v>103</v>
      </c>
      <c r="D1480" s="9">
        <v>0</v>
      </c>
    </row>
    <row r="1481" spans="1:4" x14ac:dyDescent="0.3">
      <c r="A1481" s="9" t="s">
        <v>30</v>
      </c>
      <c r="B1481" s="9" t="s">
        <v>88</v>
      </c>
      <c r="C1481" s="9" t="s">
        <v>92</v>
      </c>
      <c r="D1481" s="9">
        <v>0</v>
      </c>
    </row>
    <row r="1482" spans="1:4" x14ac:dyDescent="0.3">
      <c r="A1482" s="9" t="s">
        <v>30</v>
      </c>
      <c r="B1482" s="9" t="s">
        <v>38</v>
      </c>
      <c r="C1482" s="9" t="s">
        <v>93</v>
      </c>
      <c r="D1482" s="9">
        <v>4</v>
      </c>
    </row>
    <row r="1483" spans="1:4" x14ac:dyDescent="0.3">
      <c r="A1483" s="9" t="s">
        <v>30</v>
      </c>
      <c r="B1483" s="9" t="s">
        <v>87</v>
      </c>
      <c r="C1483" s="9" t="s">
        <v>94</v>
      </c>
      <c r="D1483" s="9">
        <v>5</v>
      </c>
    </row>
    <row r="1484" spans="1:4" x14ac:dyDescent="0.3">
      <c r="A1484" s="9" t="s">
        <v>30</v>
      </c>
      <c r="B1484" s="9" t="s">
        <v>86</v>
      </c>
      <c r="C1484" s="9" t="s">
        <v>86</v>
      </c>
      <c r="D1484" s="9">
        <v>0</v>
      </c>
    </row>
    <row r="1485" spans="1:4" x14ac:dyDescent="0.3">
      <c r="A1485" s="9" t="s">
        <v>30</v>
      </c>
      <c r="B1485" s="9" t="s">
        <v>85</v>
      </c>
      <c r="C1485" s="9" t="s">
        <v>85</v>
      </c>
      <c r="D1485" s="9">
        <v>0</v>
      </c>
    </row>
    <row r="1486" spans="1:4" x14ac:dyDescent="0.3">
      <c r="A1486" s="9" t="s">
        <v>30</v>
      </c>
      <c r="B1486" s="9" t="s">
        <v>84</v>
      </c>
      <c r="C1486" s="9" t="s">
        <v>85</v>
      </c>
      <c r="D1486" s="9">
        <v>0</v>
      </c>
    </row>
    <row r="1487" spans="1:4" x14ac:dyDescent="0.3">
      <c r="A1487" s="9" t="s">
        <v>30</v>
      </c>
      <c r="B1487" s="9" t="s">
        <v>83</v>
      </c>
      <c r="C1487" s="9" t="s">
        <v>95</v>
      </c>
      <c r="D1487" s="9">
        <v>76</v>
      </c>
    </row>
    <row r="1488" spans="1:4" x14ac:dyDescent="0.3">
      <c r="A1488" s="9" t="s">
        <v>30</v>
      </c>
      <c r="B1488" s="9" t="s">
        <v>39</v>
      </c>
      <c r="C1488" s="9" t="s">
        <v>40</v>
      </c>
      <c r="D1488" s="9">
        <v>131</v>
      </c>
    </row>
    <row r="1489" spans="1:4" x14ac:dyDescent="0.3">
      <c r="A1489" s="9" t="s">
        <v>30</v>
      </c>
      <c r="B1489" s="9" t="s">
        <v>40</v>
      </c>
      <c r="C1489" s="9" t="s">
        <v>40</v>
      </c>
      <c r="D1489" s="9">
        <v>119</v>
      </c>
    </row>
    <row r="1490" spans="1:4" x14ac:dyDescent="0.3">
      <c r="A1490" s="9" t="s">
        <v>30</v>
      </c>
      <c r="B1490" s="9" t="s">
        <v>41</v>
      </c>
      <c r="C1490" s="9" t="s">
        <v>40</v>
      </c>
      <c r="D1490" s="9">
        <v>0</v>
      </c>
    </row>
    <row r="1491" spans="1:4" x14ac:dyDescent="0.3">
      <c r="A1491" s="9" t="s">
        <v>30</v>
      </c>
      <c r="B1491" s="9" t="s">
        <v>42</v>
      </c>
      <c r="C1491" s="9" t="s">
        <v>40</v>
      </c>
      <c r="D1491" s="9">
        <v>0</v>
      </c>
    </row>
    <row r="1492" spans="1:4" x14ac:dyDescent="0.3">
      <c r="A1492" s="9" t="s">
        <v>30</v>
      </c>
      <c r="B1492" s="9" t="s">
        <v>43</v>
      </c>
      <c r="C1492" s="9" t="s">
        <v>40</v>
      </c>
      <c r="D1492" s="9">
        <v>9</v>
      </c>
    </row>
    <row r="1493" spans="1:4" x14ac:dyDescent="0.3">
      <c r="A1493" s="9" t="s">
        <v>30</v>
      </c>
      <c r="B1493" s="9" t="s">
        <v>44</v>
      </c>
      <c r="C1493" s="9" t="s">
        <v>40</v>
      </c>
      <c r="D1493" s="9">
        <v>0</v>
      </c>
    </row>
    <row r="1494" spans="1:4" x14ac:dyDescent="0.3">
      <c r="A1494" s="9" t="s">
        <v>30</v>
      </c>
      <c r="B1494" s="9" t="s">
        <v>45</v>
      </c>
      <c r="C1494" s="9" t="s">
        <v>40</v>
      </c>
      <c r="D1494" s="9">
        <v>9</v>
      </c>
    </row>
    <row r="1495" spans="1:4" x14ac:dyDescent="0.3">
      <c r="A1495" s="9" t="s">
        <v>30</v>
      </c>
      <c r="B1495" s="9" t="s">
        <v>71</v>
      </c>
      <c r="C1495" s="9" t="s">
        <v>40</v>
      </c>
      <c r="D1495" s="9">
        <v>0</v>
      </c>
    </row>
    <row r="1496" spans="1:4" x14ac:dyDescent="0.3">
      <c r="A1496" s="9" t="s">
        <v>30</v>
      </c>
      <c r="B1496" s="9" t="s">
        <v>72</v>
      </c>
      <c r="C1496" s="9" t="s">
        <v>40</v>
      </c>
      <c r="D1496" s="9">
        <v>0</v>
      </c>
    </row>
    <row r="1497" spans="1:4" x14ac:dyDescent="0.3">
      <c r="A1497" s="9" t="s">
        <v>30</v>
      </c>
      <c r="B1497" s="9" t="s">
        <v>82</v>
      </c>
      <c r="C1497" s="9" t="s">
        <v>40</v>
      </c>
      <c r="D1497" s="9">
        <v>3</v>
      </c>
    </row>
    <row r="1498" spans="1:4" x14ac:dyDescent="0.3">
      <c r="A1498" s="9" t="s">
        <v>30</v>
      </c>
      <c r="B1498" s="9" t="s">
        <v>81</v>
      </c>
      <c r="C1498" s="9" t="s">
        <v>81</v>
      </c>
      <c r="D1498" s="9">
        <v>2</v>
      </c>
    </row>
    <row r="1499" spans="1:4" x14ac:dyDescent="0.3">
      <c r="A1499" s="9" t="s">
        <v>30</v>
      </c>
      <c r="B1499" s="9" t="s">
        <v>73</v>
      </c>
      <c r="C1499" s="9" t="s">
        <v>81</v>
      </c>
      <c r="D1499" s="9">
        <v>0</v>
      </c>
    </row>
    <row r="1500" spans="1:4" x14ac:dyDescent="0.3">
      <c r="A1500" s="9" t="s">
        <v>30</v>
      </c>
      <c r="B1500" s="9" t="s">
        <v>80</v>
      </c>
      <c r="C1500" s="9" t="s">
        <v>81</v>
      </c>
      <c r="D1500" s="9">
        <v>0</v>
      </c>
    </row>
    <row r="1501" spans="1:4" x14ac:dyDescent="0.3">
      <c r="A1501" s="9" t="s">
        <v>30</v>
      </c>
      <c r="B1501" s="9" t="s">
        <v>79</v>
      </c>
      <c r="C1501" s="9" t="s">
        <v>96</v>
      </c>
      <c r="D1501" s="9">
        <v>102</v>
      </c>
    </row>
    <row r="1502" spans="1:4" x14ac:dyDescent="0.3">
      <c r="A1502" s="9" t="s">
        <v>30</v>
      </c>
      <c r="B1502" s="9" t="s">
        <v>46</v>
      </c>
      <c r="C1502" s="9" t="s">
        <v>96</v>
      </c>
      <c r="D1502" s="9">
        <v>32</v>
      </c>
    </row>
    <row r="1503" spans="1:4" x14ac:dyDescent="0.3">
      <c r="A1503" s="9" t="s">
        <v>30</v>
      </c>
      <c r="B1503" s="9" t="s">
        <v>47</v>
      </c>
      <c r="C1503" s="9" t="s">
        <v>96</v>
      </c>
      <c r="D1503" s="9">
        <v>70</v>
      </c>
    </row>
    <row r="1504" spans="1:4" x14ac:dyDescent="0.3">
      <c r="A1504" s="9" t="s">
        <v>30</v>
      </c>
      <c r="B1504" s="9" t="s">
        <v>48</v>
      </c>
      <c r="C1504" s="9" t="s">
        <v>97</v>
      </c>
      <c r="D1504" s="9">
        <v>1</v>
      </c>
    </row>
    <row r="1505" spans="1:4" x14ac:dyDescent="0.3">
      <c r="A1505" s="9" t="s">
        <v>30</v>
      </c>
      <c r="B1505" s="9" t="s">
        <v>49</v>
      </c>
      <c r="C1505" s="9" t="s">
        <v>97</v>
      </c>
      <c r="D1505" s="9">
        <v>0</v>
      </c>
    </row>
    <row r="1506" spans="1:4" x14ac:dyDescent="0.3">
      <c r="A1506" s="9" t="s">
        <v>30</v>
      </c>
      <c r="B1506" s="9" t="s">
        <v>50</v>
      </c>
      <c r="C1506" s="9" t="s">
        <v>97</v>
      </c>
      <c r="D1506" s="9">
        <v>1</v>
      </c>
    </row>
    <row r="1507" spans="1:4" x14ac:dyDescent="0.3">
      <c r="A1507" s="9" t="s">
        <v>30</v>
      </c>
      <c r="B1507" s="9" t="s">
        <v>51</v>
      </c>
      <c r="C1507" s="9" t="s">
        <v>99</v>
      </c>
      <c r="D1507" s="9">
        <v>40</v>
      </c>
    </row>
    <row r="1508" spans="1:4" x14ac:dyDescent="0.3">
      <c r="A1508" s="9" t="s">
        <v>30</v>
      </c>
      <c r="B1508" s="9" t="s">
        <v>52</v>
      </c>
      <c r="C1508" s="9" t="s">
        <v>99</v>
      </c>
      <c r="D1508" s="9">
        <v>27</v>
      </c>
    </row>
    <row r="1509" spans="1:4" x14ac:dyDescent="0.3">
      <c r="A1509" s="9" t="s">
        <v>30</v>
      </c>
      <c r="B1509" s="9" t="s">
        <v>53</v>
      </c>
      <c r="C1509" s="9" t="s">
        <v>99</v>
      </c>
      <c r="D1509" s="9">
        <v>13</v>
      </c>
    </row>
    <row r="1510" spans="1:4" x14ac:dyDescent="0.3">
      <c r="A1510" s="9" t="s">
        <v>30</v>
      </c>
      <c r="B1510" s="9" t="s">
        <v>54</v>
      </c>
      <c r="C1510" s="9" t="s">
        <v>98</v>
      </c>
      <c r="D1510" s="9">
        <v>5</v>
      </c>
    </row>
    <row r="1511" spans="1:4" x14ac:dyDescent="0.3">
      <c r="A1511" s="9" t="s">
        <v>30</v>
      </c>
      <c r="B1511" s="9" t="s">
        <v>55</v>
      </c>
      <c r="C1511" s="9" t="s">
        <v>98</v>
      </c>
      <c r="D1511" s="9">
        <v>5</v>
      </c>
    </row>
    <row r="1512" spans="1:4" x14ac:dyDescent="0.3">
      <c r="A1512" s="9" t="s">
        <v>30</v>
      </c>
      <c r="B1512" s="9" t="s">
        <v>56</v>
      </c>
      <c r="C1512" s="9" t="s">
        <v>98</v>
      </c>
      <c r="D1512" s="9">
        <v>0</v>
      </c>
    </row>
    <row r="1513" spans="1:4" x14ac:dyDescent="0.3">
      <c r="A1513" s="9" t="s">
        <v>30</v>
      </c>
      <c r="B1513" s="9" t="s">
        <v>74</v>
      </c>
      <c r="C1513" s="9" t="s">
        <v>74</v>
      </c>
      <c r="D1513" s="9">
        <v>0</v>
      </c>
    </row>
    <row r="1514" spans="1:4" x14ac:dyDescent="0.3">
      <c r="A1514" s="9" t="s">
        <v>30</v>
      </c>
      <c r="B1514" s="9" t="s">
        <v>57</v>
      </c>
      <c r="C1514" s="9" t="s">
        <v>100</v>
      </c>
      <c r="D1514" s="9">
        <v>0</v>
      </c>
    </row>
    <row r="1515" spans="1:4" x14ac:dyDescent="0.3">
      <c r="A1515" s="9" t="s">
        <v>30</v>
      </c>
      <c r="B1515" s="9" t="s">
        <v>76</v>
      </c>
      <c r="C1515" s="9" t="s">
        <v>100</v>
      </c>
      <c r="D1515" s="9">
        <v>0</v>
      </c>
    </row>
    <row r="1516" spans="1:4" x14ac:dyDescent="0.3">
      <c r="A1516" s="9" t="s">
        <v>30</v>
      </c>
      <c r="B1516" s="9" t="s">
        <v>58</v>
      </c>
      <c r="C1516" s="9" t="s">
        <v>100</v>
      </c>
      <c r="D1516" s="9">
        <v>0</v>
      </c>
    </row>
    <row r="1517" spans="1:4" x14ac:dyDescent="0.3">
      <c r="A1517" s="9" t="s">
        <v>30</v>
      </c>
      <c r="B1517" s="9" t="s">
        <v>59</v>
      </c>
      <c r="C1517" s="9" t="s">
        <v>100</v>
      </c>
      <c r="D1517" s="9">
        <v>0</v>
      </c>
    </row>
    <row r="1518" spans="1:4" x14ac:dyDescent="0.3">
      <c r="A1518" s="9" t="s">
        <v>30</v>
      </c>
      <c r="B1518" s="9" t="s">
        <v>60</v>
      </c>
      <c r="C1518" s="9" t="s">
        <v>100</v>
      </c>
      <c r="D1518" s="9">
        <v>0</v>
      </c>
    </row>
    <row r="1519" spans="1:4" x14ac:dyDescent="0.3">
      <c r="A1519" s="9" t="s">
        <v>30</v>
      </c>
      <c r="B1519" s="9" t="s">
        <v>61</v>
      </c>
      <c r="C1519" s="9" t="s">
        <v>100</v>
      </c>
      <c r="D1519" s="9">
        <v>0</v>
      </c>
    </row>
    <row r="1520" spans="1:4" x14ac:dyDescent="0.3">
      <c r="A1520" s="9" t="s">
        <v>30</v>
      </c>
      <c r="B1520" s="9" t="s">
        <v>78</v>
      </c>
      <c r="C1520" s="9" t="s">
        <v>95</v>
      </c>
      <c r="D1520" s="9">
        <v>0</v>
      </c>
    </row>
    <row r="1521" spans="1:4" x14ac:dyDescent="0.3">
      <c r="A1521" s="9" t="s">
        <v>30</v>
      </c>
      <c r="B1521" s="9" t="s">
        <v>62</v>
      </c>
      <c r="C1521" s="9" t="s">
        <v>101</v>
      </c>
      <c r="D1521" s="9">
        <v>5</v>
      </c>
    </row>
    <row r="1522" spans="1:4" x14ac:dyDescent="0.3">
      <c r="A1522" s="9" t="s">
        <v>30</v>
      </c>
      <c r="B1522" s="9" t="s">
        <v>63</v>
      </c>
      <c r="C1522" s="9" t="s">
        <v>101</v>
      </c>
      <c r="D1522" s="9">
        <v>5</v>
      </c>
    </row>
    <row r="1523" spans="1:4" x14ac:dyDescent="0.3">
      <c r="A1523" s="9" t="s">
        <v>30</v>
      </c>
      <c r="B1523" s="9" t="s">
        <v>64</v>
      </c>
      <c r="C1523" s="9" t="s">
        <v>101</v>
      </c>
      <c r="D1523" s="9">
        <v>0</v>
      </c>
    </row>
    <row r="1524" spans="1:4" x14ac:dyDescent="0.3">
      <c r="A1524" s="9" t="s">
        <v>30</v>
      </c>
      <c r="B1524" s="9" t="s">
        <v>77</v>
      </c>
      <c r="C1524" s="9" t="s">
        <v>102</v>
      </c>
      <c r="D1524" s="9">
        <v>0</v>
      </c>
    </row>
    <row r="1525" spans="1:4" x14ac:dyDescent="0.3">
      <c r="A1525" s="9" t="s">
        <v>30</v>
      </c>
      <c r="B1525" s="9" t="s">
        <v>65</v>
      </c>
      <c r="C1525" s="9" t="s">
        <v>102</v>
      </c>
      <c r="D1525" s="9">
        <v>0</v>
      </c>
    </row>
    <row r="1526" spans="1:4" x14ac:dyDescent="0.3">
      <c r="A1526" s="9" t="s">
        <v>30</v>
      </c>
      <c r="B1526" s="9" t="s">
        <v>66</v>
      </c>
      <c r="C1526" s="9" t="s">
        <v>102</v>
      </c>
      <c r="D1526" s="9">
        <v>0</v>
      </c>
    </row>
    <row r="1527" spans="1:4" x14ac:dyDescent="0.3">
      <c r="A1527" s="9" t="s">
        <v>30</v>
      </c>
      <c r="B1527" s="9" t="s">
        <v>67</v>
      </c>
      <c r="C1527" s="9" t="s">
        <v>102</v>
      </c>
      <c r="D1527" s="9">
        <v>0</v>
      </c>
    </row>
    <row r="1528" spans="1:4" x14ac:dyDescent="0.3">
      <c r="A1528" s="9" t="s">
        <v>30</v>
      </c>
      <c r="B1528" s="9" t="s">
        <v>68</v>
      </c>
      <c r="C1528" s="9" t="s">
        <v>102</v>
      </c>
      <c r="D1528" s="9">
        <v>0</v>
      </c>
    </row>
    <row r="1529" spans="1:4" x14ac:dyDescent="0.3">
      <c r="A1529" s="9" t="s">
        <v>30</v>
      </c>
      <c r="B1529" s="9" t="s">
        <v>69</v>
      </c>
      <c r="C1529" s="9" t="s">
        <v>102</v>
      </c>
      <c r="D1529" s="9">
        <v>0</v>
      </c>
    </row>
    <row r="1530" spans="1:4" x14ac:dyDescent="0.3">
      <c r="A1530" s="9" t="s">
        <v>30</v>
      </c>
      <c r="B1530" s="9" t="s">
        <v>70</v>
      </c>
      <c r="C1530" s="9" t="s">
        <v>102</v>
      </c>
      <c r="D1530" s="9">
        <v>0</v>
      </c>
    </row>
    <row r="1531" spans="1:4" x14ac:dyDescent="0.3">
      <c r="A1531" s="9" t="s">
        <v>30</v>
      </c>
      <c r="B1531" s="9" t="s">
        <v>75</v>
      </c>
      <c r="C1531" s="9" t="s">
        <v>103</v>
      </c>
      <c r="D1531" s="9">
        <v>0</v>
      </c>
    </row>
    <row r="1532" spans="1:4" x14ac:dyDescent="0.3">
      <c r="A1532" s="9" t="s">
        <v>31</v>
      </c>
      <c r="B1532" s="9" t="s">
        <v>88</v>
      </c>
      <c r="C1532" s="9" t="s">
        <v>92</v>
      </c>
      <c r="D1532" s="9">
        <v>0</v>
      </c>
    </row>
    <row r="1533" spans="1:4" x14ac:dyDescent="0.3">
      <c r="A1533" s="9" t="s">
        <v>31</v>
      </c>
      <c r="B1533" s="9" t="s">
        <v>38</v>
      </c>
      <c r="C1533" s="9" t="s">
        <v>93</v>
      </c>
      <c r="D1533" s="9">
        <v>0</v>
      </c>
    </row>
    <row r="1534" spans="1:4" x14ac:dyDescent="0.3">
      <c r="A1534" s="9" t="s">
        <v>31</v>
      </c>
      <c r="B1534" s="9" t="s">
        <v>87</v>
      </c>
      <c r="C1534" s="9" t="s">
        <v>94</v>
      </c>
      <c r="D1534" s="9">
        <v>1</v>
      </c>
    </row>
    <row r="1535" spans="1:4" x14ac:dyDescent="0.3">
      <c r="A1535" s="9" t="s">
        <v>31</v>
      </c>
      <c r="B1535" s="9" t="s">
        <v>86</v>
      </c>
      <c r="C1535" s="9" t="s">
        <v>86</v>
      </c>
      <c r="D1535" s="9">
        <v>0</v>
      </c>
    </row>
    <row r="1536" spans="1:4" x14ac:dyDescent="0.3">
      <c r="A1536" s="9" t="s">
        <v>31</v>
      </c>
      <c r="B1536" s="9" t="s">
        <v>85</v>
      </c>
      <c r="C1536" s="9" t="s">
        <v>85</v>
      </c>
      <c r="D1536" s="9">
        <v>0</v>
      </c>
    </row>
    <row r="1537" spans="1:4" x14ac:dyDescent="0.3">
      <c r="A1537" s="9" t="s">
        <v>31</v>
      </c>
      <c r="B1537" s="9" t="s">
        <v>84</v>
      </c>
      <c r="C1537" s="9" t="s">
        <v>85</v>
      </c>
      <c r="D1537" s="9">
        <v>0</v>
      </c>
    </row>
    <row r="1538" spans="1:4" x14ac:dyDescent="0.3">
      <c r="A1538" s="9" t="s">
        <v>31</v>
      </c>
      <c r="B1538" s="9" t="s">
        <v>83</v>
      </c>
      <c r="C1538" s="9" t="s">
        <v>95</v>
      </c>
      <c r="D1538" s="9">
        <v>2</v>
      </c>
    </row>
    <row r="1539" spans="1:4" x14ac:dyDescent="0.3">
      <c r="A1539" s="9" t="s">
        <v>31</v>
      </c>
      <c r="B1539" s="9" t="s">
        <v>39</v>
      </c>
      <c r="C1539" s="9" t="s">
        <v>40</v>
      </c>
      <c r="D1539" s="9">
        <v>35</v>
      </c>
    </row>
    <row r="1540" spans="1:4" x14ac:dyDescent="0.3">
      <c r="A1540" s="9" t="s">
        <v>31</v>
      </c>
      <c r="B1540" s="9" t="s">
        <v>40</v>
      </c>
      <c r="C1540" s="9" t="s">
        <v>40</v>
      </c>
      <c r="D1540" s="9">
        <v>34</v>
      </c>
    </row>
    <row r="1541" spans="1:4" x14ac:dyDescent="0.3">
      <c r="A1541" s="9" t="s">
        <v>31</v>
      </c>
      <c r="B1541" s="9" t="s">
        <v>41</v>
      </c>
      <c r="C1541" s="9" t="s">
        <v>40</v>
      </c>
      <c r="D1541" s="9">
        <v>0</v>
      </c>
    </row>
    <row r="1542" spans="1:4" x14ac:dyDescent="0.3">
      <c r="A1542" s="9" t="s">
        <v>31</v>
      </c>
      <c r="B1542" s="9" t="s">
        <v>42</v>
      </c>
      <c r="C1542" s="9" t="s">
        <v>40</v>
      </c>
      <c r="D1542" s="9">
        <v>0</v>
      </c>
    </row>
    <row r="1543" spans="1:4" x14ac:dyDescent="0.3">
      <c r="A1543" s="9" t="s">
        <v>31</v>
      </c>
      <c r="B1543" s="9" t="s">
        <v>43</v>
      </c>
      <c r="C1543" s="9" t="s">
        <v>40</v>
      </c>
      <c r="D1543" s="9">
        <v>0</v>
      </c>
    </row>
    <row r="1544" spans="1:4" x14ac:dyDescent="0.3">
      <c r="A1544" s="9" t="s">
        <v>31</v>
      </c>
      <c r="B1544" s="9" t="s">
        <v>44</v>
      </c>
      <c r="C1544" s="9" t="s">
        <v>40</v>
      </c>
      <c r="D1544" s="9">
        <v>0</v>
      </c>
    </row>
    <row r="1545" spans="1:4" x14ac:dyDescent="0.3">
      <c r="A1545" s="9" t="s">
        <v>31</v>
      </c>
      <c r="B1545" s="9" t="s">
        <v>45</v>
      </c>
      <c r="C1545" s="9" t="s">
        <v>40</v>
      </c>
      <c r="D1545" s="9">
        <v>0</v>
      </c>
    </row>
    <row r="1546" spans="1:4" x14ac:dyDescent="0.3">
      <c r="A1546" s="9" t="s">
        <v>31</v>
      </c>
      <c r="B1546" s="9" t="s">
        <v>71</v>
      </c>
      <c r="C1546" s="9" t="s">
        <v>40</v>
      </c>
      <c r="D1546" s="9">
        <v>0</v>
      </c>
    </row>
    <row r="1547" spans="1:4" x14ac:dyDescent="0.3">
      <c r="A1547" s="9" t="s">
        <v>31</v>
      </c>
      <c r="B1547" s="9" t="s">
        <v>72</v>
      </c>
      <c r="C1547" s="9" t="s">
        <v>40</v>
      </c>
      <c r="D1547" s="9">
        <v>0</v>
      </c>
    </row>
    <row r="1548" spans="1:4" x14ac:dyDescent="0.3">
      <c r="A1548" s="9" t="s">
        <v>31</v>
      </c>
      <c r="B1548" s="9" t="s">
        <v>82</v>
      </c>
      <c r="C1548" s="9" t="s">
        <v>40</v>
      </c>
      <c r="D1548" s="9">
        <v>1</v>
      </c>
    </row>
    <row r="1549" spans="1:4" x14ac:dyDescent="0.3">
      <c r="A1549" s="9" t="s">
        <v>31</v>
      </c>
      <c r="B1549" s="9" t="s">
        <v>81</v>
      </c>
      <c r="C1549" s="9" t="s">
        <v>81</v>
      </c>
      <c r="D1549" s="9">
        <v>0</v>
      </c>
    </row>
    <row r="1550" spans="1:4" x14ac:dyDescent="0.3">
      <c r="A1550" s="9" t="s">
        <v>31</v>
      </c>
      <c r="B1550" s="9" t="s">
        <v>73</v>
      </c>
      <c r="C1550" s="9" t="s">
        <v>81</v>
      </c>
      <c r="D1550" s="9">
        <v>0</v>
      </c>
    </row>
    <row r="1551" spans="1:4" x14ac:dyDescent="0.3">
      <c r="A1551" s="9" t="s">
        <v>31</v>
      </c>
      <c r="B1551" s="9" t="s">
        <v>80</v>
      </c>
      <c r="C1551" s="9" t="s">
        <v>81</v>
      </c>
      <c r="D1551" s="9">
        <v>0</v>
      </c>
    </row>
    <row r="1552" spans="1:4" x14ac:dyDescent="0.3">
      <c r="A1552" s="9" t="s">
        <v>31</v>
      </c>
      <c r="B1552" s="9" t="s">
        <v>79</v>
      </c>
      <c r="C1552" s="9" t="s">
        <v>96</v>
      </c>
      <c r="D1552" s="9">
        <v>6</v>
      </c>
    </row>
    <row r="1553" spans="1:4" x14ac:dyDescent="0.3">
      <c r="A1553" s="9" t="s">
        <v>31</v>
      </c>
      <c r="B1553" s="9" t="s">
        <v>46</v>
      </c>
      <c r="C1553" s="9" t="s">
        <v>96</v>
      </c>
      <c r="D1553" s="9">
        <v>5</v>
      </c>
    </row>
    <row r="1554" spans="1:4" x14ac:dyDescent="0.3">
      <c r="A1554" s="9" t="s">
        <v>31</v>
      </c>
      <c r="B1554" s="9" t="s">
        <v>47</v>
      </c>
      <c r="C1554" s="9" t="s">
        <v>96</v>
      </c>
      <c r="D1554" s="9">
        <v>1</v>
      </c>
    </row>
    <row r="1555" spans="1:4" x14ac:dyDescent="0.3">
      <c r="A1555" s="9" t="s">
        <v>31</v>
      </c>
      <c r="B1555" s="9" t="s">
        <v>48</v>
      </c>
      <c r="C1555" s="9" t="s">
        <v>97</v>
      </c>
      <c r="D1555" s="9">
        <v>1</v>
      </c>
    </row>
    <row r="1556" spans="1:4" x14ac:dyDescent="0.3">
      <c r="A1556" s="9" t="s">
        <v>31</v>
      </c>
      <c r="B1556" s="9" t="s">
        <v>49</v>
      </c>
      <c r="C1556" s="9" t="s">
        <v>97</v>
      </c>
      <c r="D1556" s="9">
        <v>1</v>
      </c>
    </row>
    <row r="1557" spans="1:4" x14ac:dyDescent="0.3">
      <c r="A1557" s="9" t="s">
        <v>31</v>
      </c>
      <c r="B1557" s="9" t="s">
        <v>50</v>
      </c>
      <c r="C1557" s="9" t="s">
        <v>97</v>
      </c>
      <c r="D1557" s="9">
        <v>0</v>
      </c>
    </row>
    <row r="1558" spans="1:4" x14ac:dyDescent="0.3">
      <c r="A1558" s="9" t="s">
        <v>31</v>
      </c>
      <c r="B1558" s="9" t="s">
        <v>51</v>
      </c>
      <c r="C1558" s="9" t="s">
        <v>99</v>
      </c>
      <c r="D1558" s="9">
        <v>12</v>
      </c>
    </row>
    <row r="1559" spans="1:4" x14ac:dyDescent="0.3">
      <c r="A1559" s="9" t="s">
        <v>31</v>
      </c>
      <c r="B1559" s="9" t="s">
        <v>52</v>
      </c>
      <c r="C1559" s="9" t="s">
        <v>99</v>
      </c>
      <c r="D1559" s="9">
        <v>12</v>
      </c>
    </row>
    <row r="1560" spans="1:4" x14ac:dyDescent="0.3">
      <c r="A1560" s="9" t="s">
        <v>31</v>
      </c>
      <c r="B1560" s="9" t="s">
        <v>53</v>
      </c>
      <c r="C1560" s="9" t="s">
        <v>99</v>
      </c>
      <c r="D1560" s="9">
        <v>0</v>
      </c>
    </row>
    <row r="1561" spans="1:4" x14ac:dyDescent="0.3">
      <c r="A1561" s="9" t="s">
        <v>31</v>
      </c>
      <c r="B1561" s="9" t="s">
        <v>54</v>
      </c>
      <c r="C1561" s="9" t="s">
        <v>98</v>
      </c>
      <c r="D1561" s="9">
        <v>3</v>
      </c>
    </row>
    <row r="1562" spans="1:4" x14ac:dyDescent="0.3">
      <c r="A1562" s="9" t="s">
        <v>31</v>
      </c>
      <c r="B1562" s="9" t="s">
        <v>55</v>
      </c>
      <c r="C1562" s="9" t="s">
        <v>98</v>
      </c>
      <c r="D1562" s="9">
        <v>3</v>
      </c>
    </row>
    <row r="1563" spans="1:4" x14ac:dyDescent="0.3">
      <c r="A1563" s="9" t="s">
        <v>31</v>
      </c>
      <c r="B1563" s="9" t="s">
        <v>56</v>
      </c>
      <c r="C1563" s="9" t="s">
        <v>98</v>
      </c>
      <c r="D1563" s="9">
        <v>0</v>
      </c>
    </row>
    <row r="1564" spans="1:4" x14ac:dyDescent="0.3">
      <c r="A1564" s="9" t="s">
        <v>31</v>
      </c>
      <c r="B1564" s="9" t="s">
        <v>74</v>
      </c>
      <c r="C1564" s="9" t="s">
        <v>74</v>
      </c>
      <c r="D1564" s="9">
        <v>0</v>
      </c>
    </row>
    <row r="1565" spans="1:4" x14ac:dyDescent="0.3">
      <c r="A1565" s="9" t="s">
        <v>31</v>
      </c>
      <c r="B1565" s="9" t="s">
        <v>57</v>
      </c>
      <c r="C1565" s="9" t="s">
        <v>100</v>
      </c>
      <c r="D1565" s="9">
        <v>8</v>
      </c>
    </row>
    <row r="1566" spans="1:4" x14ac:dyDescent="0.3">
      <c r="A1566" s="9" t="s">
        <v>31</v>
      </c>
      <c r="B1566" s="9" t="s">
        <v>76</v>
      </c>
      <c r="C1566" s="9" t="s">
        <v>100</v>
      </c>
      <c r="D1566" s="9">
        <v>0</v>
      </c>
    </row>
    <row r="1567" spans="1:4" x14ac:dyDescent="0.3">
      <c r="A1567" s="9" t="s">
        <v>31</v>
      </c>
      <c r="B1567" s="9" t="s">
        <v>58</v>
      </c>
      <c r="C1567" s="9" t="s">
        <v>100</v>
      </c>
      <c r="D1567" s="9">
        <v>0</v>
      </c>
    </row>
    <row r="1568" spans="1:4" x14ac:dyDescent="0.3">
      <c r="A1568" s="9" t="s">
        <v>31</v>
      </c>
      <c r="B1568" s="9" t="s">
        <v>59</v>
      </c>
      <c r="C1568" s="9" t="s">
        <v>100</v>
      </c>
      <c r="D1568" s="9">
        <v>8</v>
      </c>
    </row>
    <row r="1569" spans="1:4" x14ac:dyDescent="0.3">
      <c r="A1569" s="9" t="s">
        <v>31</v>
      </c>
      <c r="B1569" s="9" t="s">
        <v>60</v>
      </c>
      <c r="C1569" s="9" t="s">
        <v>100</v>
      </c>
      <c r="D1569" s="9">
        <v>0</v>
      </c>
    </row>
    <row r="1570" spans="1:4" x14ac:dyDescent="0.3">
      <c r="A1570" s="9" t="s">
        <v>31</v>
      </c>
      <c r="B1570" s="9" t="s">
        <v>61</v>
      </c>
      <c r="C1570" s="9" t="s">
        <v>100</v>
      </c>
      <c r="D1570" s="9">
        <v>0</v>
      </c>
    </row>
    <row r="1571" spans="1:4" x14ac:dyDescent="0.3">
      <c r="A1571" s="9" t="s">
        <v>31</v>
      </c>
      <c r="B1571" s="9" t="s">
        <v>78</v>
      </c>
      <c r="C1571" s="9" t="s">
        <v>95</v>
      </c>
      <c r="D1571" s="9">
        <v>0</v>
      </c>
    </row>
    <row r="1572" spans="1:4" x14ac:dyDescent="0.3">
      <c r="A1572" s="9" t="s">
        <v>31</v>
      </c>
      <c r="B1572" s="9" t="s">
        <v>62</v>
      </c>
      <c r="C1572" s="9" t="s">
        <v>101</v>
      </c>
      <c r="D1572" s="9">
        <v>3</v>
      </c>
    </row>
    <row r="1573" spans="1:4" x14ac:dyDescent="0.3">
      <c r="A1573" s="9" t="s">
        <v>31</v>
      </c>
      <c r="B1573" s="9" t="s">
        <v>63</v>
      </c>
      <c r="C1573" s="9" t="s">
        <v>101</v>
      </c>
      <c r="D1573" s="9">
        <v>3</v>
      </c>
    </row>
    <row r="1574" spans="1:4" x14ac:dyDescent="0.3">
      <c r="A1574" s="9" t="s">
        <v>31</v>
      </c>
      <c r="B1574" s="9" t="s">
        <v>64</v>
      </c>
      <c r="C1574" s="9" t="s">
        <v>101</v>
      </c>
      <c r="D1574" s="9">
        <v>0</v>
      </c>
    </row>
    <row r="1575" spans="1:4" x14ac:dyDescent="0.3">
      <c r="A1575" s="9" t="s">
        <v>31</v>
      </c>
      <c r="B1575" s="9" t="s">
        <v>77</v>
      </c>
      <c r="C1575" s="9" t="s">
        <v>102</v>
      </c>
      <c r="D1575" s="9">
        <v>53</v>
      </c>
    </row>
    <row r="1576" spans="1:4" x14ac:dyDescent="0.3">
      <c r="A1576" s="9" t="s">
        <v>31</v>
      </c>
      <c r="B1576" s="9" t="s">
        <v>65</v>
      </c>
      <c r="C1576" s="9" t="s">
        <v>102</v>
      </c>
      <c r="D1576" s="9">
        <v>50</v>
      </c>
    </row>
    <row r="1577" spans="1:4" x14ac:dyDescent="0.3">
      <c r="A1577" s="9" t="s">
        <v>31</v>
      </c>
      <c r="B1577" s="9" t="s">
        <v>66</v>
      </c>
      <c r="C1577" s="9" t="s">
        <v>102</v>
      </c>
      <c r="D1577" s="9">
        <v>1</v>
      </c>
    </row>
    <row r="1578" spans="1:4" x14ac:dyDescent="0.3">
      <c r="A1578" s="9" t="s">
        <v>31</v>
      </c>
      <c r="B1578" s="9" t="s">
        <v>67</v>
      </c>
      <c r="C1578" s="9" t="s">
        <v>102</v>
      </c>
      <c r="D1578" s="9">
        <v>2</v>
      </c>
    </row>
    <row r="1579" spans="1:4" x14ac:dyDescent="0.3">
      <c r="A1579" s="9" t="s">
        <v>31</v>
      </c>
      <c r="B1579" s="9" t="s">
        <v>68</v>
      </c>
      <c r="C1579" s="9" t="s">
        <v>102</v>
      </c>
      <c r="D1579" s="9">
        <v>0</v>
      </c>
    </row>
    <row r="1580" spans="1:4" x14ac:dyDescent="0.3">
      <c r="A1580" s="9" t="s">
        <v>31</v>
      </c>
      <c r="B1580" s="9" t="s">
        <v>69</v>
      </c>
      <c r="C1580" s="9" t="s">
        <v>102</v>
      </c>
      <c r="D1580" s="9">
        <v>0</v>
      </c>
    </row>
    <row r="1581" spans="1:4" x14ac:dyDescent="0.3">
      <c r="A1581" s="9" t="s">
        <v>31</v>
      </c>
      <c r="B1581" s="9" t="s">
        <v>70</v>
      </c>
      <c r="C1581" s="9" t="s">
        <v>102</v>
      </c>
      <c r="D1581" s="9">
        <v>0</v>
      </c>
    </row>
    <row r="1582" spans="1:4" x14ac:dyDescent="0.3">
      <c r="A1582" s="9" t="s">
        <v>31</v>
      </c>
      <c r="B1582" s="9" t="s">
        <v>75</v>
      </c>
      <c r="C1582" s="9" t="s">
        <v>103</v>
      </c>
      <c r="D1582" s="9">
        <v>0</v>
      </c>
    </row>
    <row r="1583" spans="1:4" x14ac:dyDescent="0.3">
      <c r="A1583" s="9" t="s">
        <v>32</v>
      </c>
      <c r="B1583" s="9" t="s">
        <v>88</v>
      </c>
      <c r="C1583" s="9" t="s">
        <v>92</v>
      </c>
      <c r="D1583" s="9">
        <v>3</v>
      </c>
    </row>
    <row r="1584" spans="1:4" x14ac:dyDescent="0.3">
      <c r="A1584" s="9" t="s">
        <v>32</v>
      </c>
      <c r="B1584" s="9" t="s">
        <v>38</v>
      </c>
      <c r="C1584" s="9" t="s">
        <v>93</v>
      </c>
      <c r="D1584" s="9">
        <v>115</v>
      </c>
    </row>
    <row r="1585" spans="1:4" x14ac:dyDescent="0.3">
      <c r="A1585" s="9" t="s">
        <v>32</v>
      </c>
      <c r="B1585" s="9" t="s">
        <v>87</v>
      </c>
      <c r="C1585" s="9" t="s">
        <v>94</v>
      </c>
      <c r="D1585" s="9">
        <v>42</v>
      </c>
    </row>
    <row r="1586" spans="1:4" x14ac:dyDescent="0.3">
      <c r="A1586" s="9" t="s">
        <v>32</v>
      </c>
      <c r="B1586" s="9" t="s">
        <v>86</v>
      </c>
      <c r="C1586" s="9" t="s">
        <v>86</v>
      </c>
      <c r="D1586" s="9">
        <v>10</v>
      </c>
    </row>
    <row r="1587" spans="1:4" x14ac:dyDescent="0.3">
      <c r="A1587" s="9" t="s">
        <v>32</v>
      </c>
      <c r="B1587" s="9" t="s">
        <v>85</v>
      </c>
      <c r="C1587" s="9" t="s">
        <v>85</v>
      </c>
      <c r="D1587" s="9">
        <v>6</v>
      </c>
    </row>
    <row r="1588" spans="1:4" x14ac:dyDescent="0.3">
      <c r="A1588" s="9" t="s">
        <v>32</v>
      </c>
      <c r="B1588" s="9" t="s">
        <v>84</v>
      </c>
      <c r="C1588" s="9" t="s">
        <v>85</v>
      </c>
      <c r="D1588" s="9">
        <v>2</v>
      </c>
    </row>
    <row r="1589" spans="1:4" x14ac:dyDescent="0.3">
      <c r="A1589" s="9" t="s">
        <v>32</v>
      </c>
      <c r="B1589" s="9" t="s">
        <v>83</v>
      </c>
      <c r="C1589" s="9" t="s">
        <v>95</v>
      </c>
      <c r="D1589" s="9">
        <v>4236</v>
      </c>
    </row>
    <row r="1590" spans="1:4" x14ac:dyDescent="0.3">
      <c r="A1590" s="9" t="s">
        <v>32</v>
      </c>
      <c r="B1590" s="9" t="s">
        <v>39</v>
      </c>
      <c r="C1590" s="9" t="s">
        <v>40</v>
      </c>
      <c r="D1590" s="9">
        <v>3970</v>
      </c>
    </row>
    <row r="1591" spans="1:4" x14ac:dyDescent="0.3">
      <c r="A1591" s="9" t="s">
        <v>32</v>
      </c>
      <c r="B1591" s="9" t="s">
        <v>40</v>
      </c>
      <c r="C1591" s="9" t="s">
        <v>40</v>
      </c>
      <c r="D1591" s="9">
        <v>3838</v>
      </c>
    </row>
    <row r="1592" spans="1:4" x14ac:dyDescent="0.3">
      <c r="A1592" s="9" t="s">
        <v>32</v>
      </c>
      <c r="B1592" s="9" t="s">
        <v>41</v>
      </c>
      <c r="C1592" s="9" t="s">
        <v>40</v>
      </c>
      <c r="D1592" s="9">
        <v>0</v>
      </c>
    </row>
    <row r="1593" spans="1:4" x14ac:dyDescent="0.3">
      <c r="A1593" s="9" t="s">
        <v>32</v>
      </c>
      <c r="B1593" s="9" t="s">
        <v>42</v>
      </c>
      <c r="C1593" s="9" t="s">
        <v>40</v>
      </c>
      <c r="D1593" s="9">
        <v>3</v>
      </c>
    </row>
    <row r="1594" spans="1:4" x14ac:dyDescent="0.3">
      <c r="A1594" s="9" t="s">
        <v>32</v>
      </c>
      <c r="B1594" s="9" t="s">
        <v>43</v>
      </c>
      <c r="C1594" s="9" t="s">
        <v>40</v>
      </c>
      <c r="D1594" s="9">
        <v>0</v>
      </c>
    </row>
    <row r="1595" spans="1:4" x14ac:dyDescent="0.3">
      <c r="A1595" s="9" t="s">
        <v>32</v>
      </c>
      <c r="B1595" s="9" t="s">
        <v>44</v>
      </c>
      <c r="C1595" s="9" t="s">
        <v>40</v>
      </c>
      <c r="D1595" s="9">
        <v>0</v>
      </c>
    </row>
    <row r="1596" spans="1:4" x14ac:dyDescent="0.3">
      <c r="A1596" s="9" t="s">
        <v>32</v>
      </c>
      <c r="B1596" s="9" t="s">
        <v>45</v>
      </c>
      <c r="C1596" s="9" t="s">
        <v>40</v>
      </c>
      <c r="D1596" s="9">
        <v>0</v>
      </c>
    </row>
    <row r="1597" spans="1:4" x14ac:dyDescent="0.3">
      <c r="A1597" s="9" t="s">
        <v>32</v>
      </c>
      <c r="B1597" s="9" t="s">
        <v>71</v>
      </c>
      <c r="C1597" s="9" t="s">
        <v>40</v>
      </c>
      <c r="D1597" s="9">
        <v>0</v>
      </c>
    </row>
    <row r="1598" spans="1:4" x14ac:dyDescent="0.3">
      <c r="A1598" s="9" t="s">
        <v>32</v>
      </c>
      <c r="B1598" s="9" t="s">
        <v>72</v>
      </c>
      <c r="C1598" s="9" t="s">
        <v>40</v>
      </c>
      <c r="D1598" s="9">
        <v>0</v>
      </c>
    </row>
    <row r="1599" spans="1:4" x14ac:dyDescent="0.3">
      <c r="A1599" s="9" t="s">
        <v>32</v>
      </c>
      <c r="B1599" s="9" t="s">
        <v>82</v>
      </c>
      <c r="C1599" s="9" t="s">
        <v>40</v>
      </c>
      <c r="D1599" s="9">
        <v>129</v>
      </c>
    </row>
    <row r="1600" spans="1:4" x14ac:dyDescent="0.3">
      <c r="A1600" s="9" t="s">
        <v>32</v>
      </c>
      <c r="B1600" s="9" t="s">
        <v>81</v>
      </c>
      <c r="C1600" s="9" t="s">
        <v>81</v>
      </c>
      <c r="D1600" s="9">
        <v>44</v>
      </c>
    </row>
    <row r="1601" spans="1:4" x14ac:dyDescent="0.3">
      <c r="A1601" s="9" t="s">
        <v>32</v>
      </c>
      <c r="B1601" s="9" t="s">
        <v>73</v>
      </c>
      <c r="C1601" s="9" t="s">
        <v>81</v>
      </c>
      <c r="D1601" s="9">
        <v>0</v>
      </c>
    </row>
    <row r="1602" spans="1:4" x14ac:dyDescent="0.3">
      <c r="A1602" s="9" t="s">
        <v>32</v>
      </c>
      <c r="B1602" s="9" t="s">
        <v>80</v>
      </c>
      <c r="C1602" s="9" t="s">
        <v>81</v>
      </c>
      <c r="D1602" s="9">
        <v>0</v>
      </c>
    </row>
    <row r="1603" spans="1:4" x14ac:dyDescent="0.3">
      <c r="A1603" s="9" t="s">
        <v>32</v>
      </c>
      <c r="B1603" s="9" t="s">
        <v>79</v>
      </c>
      <c r="C1603" s="9" t="s">
        <v>96</v>
      </c>
      <c r="D1603" s="9">
        <v>1094</v>
      </c>
    </row>
    <row r="1604" spans="1:4" x14ac:dyDescent="0.3">
      <c r="A1604" s="9" t="s">
        <v>32</v>
      </c>
      <c r="B1604" s="9" t="s">
        <v>46</v>
      </c>
      <c r="C1604" s="9" t="s">
        <v>96</v>
      </c>
      <c r="D1604" s="9">
        <v>1094</v>
      </c>
    </row>
    <row r="1605" spans="1:4" x14ac:dyDescent="0.3">
      <c r="A1605" s="9" t="s">
        <v>32</v>
      </c>
      <c r="B1605" s="9" t="s">
        <v>47</v>
      </c>
      <c r="C1605" s="9" t="s">
        <v>96</v>
      </c>
      <c r="D1605" s="9">
        <v>0</v>
      </c>
    </row>
    <row r="1606" spans="1:4" x14ac:dyDescent="0.3">
      <c r="A1606" s="9" t="s">
        <v>32</v>
      </c>
      <c r="B1606" s="9" t="s">
        <v>48</v>
      </c>
      <c r="C1606" s="9" t="s">
        <v>97</v>
      </c>
      <c r="D1606" s="9">
        <v>0</v>
      </c>
    </row>
    <row r="1607" spans="1:4" x14ac:dyDescent="0.3">
      <c r="A1607" s="9" t="s">
        <v>32</v>
      </c>
      <c r="B1607" s="9" t="s">
        <v>49</v>
      </c>
      <c r="C1607" s="9" t="s">
        <v>97</v>
      </c>
      <c r="D1607" s="9">
        <v>0</v>
      </c>
    </row>
    <row r="1608" spans="1:4" x14ac:dyDescent="0.3">
      <c r="A1608" s="9" t="s">
        <v>32</v>
      </c>
      <c r="B1608" s="9" t="s">
        <v>50</v>
      </c>
      <c r="C1608" s="9" t="s">
        <v>97</v>
      </c>
      <c r="D1608" s="9">
        <v>0</v>
      </c>
    </row>
    <row r="1609" spans="1:4" x14ac:dyDescent="0.3">
      <c r="A1609" s="9" t="s">
        <v>32</v>
      </c>
      <c r="B1609" s="9" t="s">
        <v>51</v>
      </c>
      <c r="C1609" s="9" t="s">
        <v>99</v>
      </c>
      <c r="D1609" s="9">
        <v>1814</v>
      </c>
    </row>
    <row r="1610" spans="1:4" x14ac:dyDescent="0.3">
      <c r="A1610" s="9" t="s">
        <v>32</v>
      </c>
      <c r="B1610" s="9" t="s">
        <v>52</v>
      </c>
      <c r="C1610" s="9" t="s">
        <v>99</v>
      </c>
      <c r="D1610" s="9">
        <v>1814</v>
      </c>
    </row>
    <row r="1611" spans="1:4" x14ac:dyDescent="0.3">
      <c r="A1611" s="9" t="s">
        <v>32</v>
      </c>
      <c r="B1611" s="9" t="s">
        <v>53</v>
      </c>
      <c r="C1611" s="9" t="s">
        <v>99</v>
      </c>
      <c r="D1611" s="9">
        <v>0</v>
      </c>
    </row>
    <row r="1612" spans="1:4" x14ac:dyDescent="0.3">
      <c r="A1612" s="9" t="s">
        <v>32</v>
      </c>
      <c r="B1612" s="9" t="s">
        <v>54</v>
      </c>
      <c r="C1612" s="9" t="s">
        <v>98</v>
      </c>
      <c r="D1612" s="9">
        <v>352</v>
      </c>
    </row>
    <row r="1613" spans="1:4" x14ac:dyDescent="0.3">
      <c r="A1613" s="9" t="s">
        <v>32</v>
      </c>
      <c r="B1613" s="9" t="s">
        <v>55</v>
      </c>
      <c r="C1613" s="9" t="s">
        <v>98</v>
      </c>
      <c r="D1613" s="9">
        <v>351</v>
      </c>
    </row>
    <row r="1614" spans="1:4" x14ac:dyDescent="0.3">
      <c r="A1614" s="9" t="s">
        <v>32</v>
      </c>
      <c r="B1614" s="9" t="s">
        <v>56</v>
      </c>
      <c r="C1614" s="9" t="s">
        <v>98</v>
      </c>
      <c r="D1614" s="9">
        <v>1</v>
      </c>
    </row>
    <row r="1615" spans="1:4" x14ac:dyDescent="0.3">
      <c r="A1615" s="9" t="s">
        <v>32</v>
      </c>
      <c r="B1615" s="9" t="s">
        <v>74</v>
      </c>
      <c r="C1615" s="9" t="s">
        <v>74</v>
      </c>
      <c r="D1615" s="9">
        <v>16</v>
      </c>
    </row>
    <row r="1616" spans="1:4" x14ac:dyDescent="0.3">
      <c r="A1616" s="9" t="s">
        <v>32</v>
      </c>
      <c r="B1616" s="9" t="s">
        <v>57</v>
      </c>
      <c r="C1616" s="9" t="s">
        <v>100</v>
      </c>
      <c r="D1616" s="9">
        <v>59</v>
      </c>
    </row>
    <row r="1617" spans="1:4" x14ac:dyDescent="0.3">
      <c r="A1617" s="9" t="s">
        <v>32</v>
      </c>
      <c r="B1617" s="9" t="s">
        <v>76</v>
      </c>
      <c r="C1617" s="9" t="s">
        <v>100</v>
      </c>
      <c r="D1617" s="9">
        <v>1</v>
      </c>
    </row>
    <row r="1618" spans="1:4" x14ac:dyDescent="0.3">
      <c r="A1618" s="9" t="s">
        <v>32</v>
      </c>
      <c r="B1618" s="9" t="s">
        <v>58</v>
      </c>
      <c r="C1618" s="9" t="s">
        <v>100</v>
      </c>
      <c r="D1618" s="9">
        <v>1</v>
      </c>
    </row>
    <row r="1619" spans="1:4" x14ac:dyDescent="0.3">
      <c r="A1619" s="9" t="s">
        <v>32</v>
      </c>
      <c r="B1619" s="9" t="s">
        <v>59</v>
      </c>
      <c r="C1619" s="9" t="s">
        <v>100</v>
      </c>
      <c r="D1619" s="9">
        <v>0</v>
      </c>
    </row>
    <row r="1620" spans="1:4" x14ac:dyDescent="0.3">
      <c r="A1620" s="9" t="s">
        <v>32</v>
      </c>
      <c r="B1620" s="9" t="s">
        <v>60</v>
      </c>
      <c r="C1620" s="9" t="s">
        <v>100</v>
      </c>
      <c r="D1620" s="9">
        <v>1</v>
      </c>
    </row>
    <row r="1621" spans="1:4" x14ac:dyDescent="0.3">
      <c r="A1621" s="9" t="s">
        <v>32</v>
      </c>
      <c r="B1621" s="9" t="s">
        <v>61</v>
      </c>
      <c r="C1621" s="9" t="s">
        <v>100</v>
      </c>
      <c r="D1621" s="9">
        <v>56</v>
      </c>
    </row>
    <row r="1622" spans="1:4" x14ac:dyDescent="0.3">
      <c r="A1622" s="9" t="s">
        <v>32</v>
      </c>
      <c r="B1622" s="9" t="s">
        <v>78</v>
      </c>
      <c r="C1622" s="9" t="s">
        <v>95</v>
      </c>
      <c r="D1622" s="9">
        <v>4</v>
      </c>
    </row>
    <row r="1623" spans="1:4" x14ac:dyDescent="0.3">
      <c r="A1623" s="9" t="s">
        <v>32</v>
      </c>
      <c r="B1623" s="9" t="s">
        <v>62</v>
      </c>
      <c r="C1623" s="9" t="s">
        <v>101</v>
      </c>
      <c r="D1623" s="9">
        <v>36</v>
      </c>
    </row>
    <row r="1624" spans="1:4" x14ac:dyDescent="0.3">
      <c r="A1624" s="9" t="s">
        <v>32</v>
      </c>
      <c r="B1624" s="9" t="s">
        <v>63</v>
      </c>
      <c r="C1624" s="9" t="s">
        <v>101</v>
      </c>
      <c r="D1624" s="9">
        <v>28</v>
      </c>
    </row>
    <row r="1625" spans="1:4" x14ac:dyDescent="0.3">
      <c r="A1625" s="9" t="s">
        <v>32</v>
      </c>
      <c r="B1625" s="9" t="s">
        <v>64</v>
      </c>
      <c r="C1625" s="9" t="s">
        <v>101</v>
      </c>
      <c r="D1625" s="9">
        <v>8</v>
      </c>
    </row>
    <row r="1626" spans="1:4" x14ac:dyDescent="0.3">
      <c r="A1626" s="9" t="s">
        <v>32</v>
      </c>
      <c r="B1626" s="9" t="s">
        <v>77</v>
      </c>
      <c r="C1626" s="9" t="s">
        <v>102</v>
      </c>
      <c r="D1626" s="9">
        <v>1636</v>
      </c>
    </row>
    <row r="1627" spans="1:4" x14ac:dyDescent="0.3">
      <c r="A1627" s="9" t="s">
        <v>32</v>
      </c>
      <c r="B1627" s="9" t="s">
        <v>65</v>
      </c>
      <c r="C1627" s="9" t="s">
        <v>102</v>
      </c>
      <c r="D1627" s="9">
        <v>1052</v>
      </c>
    </row>
    <row r="1628" spans="1:4" x14ac:dyDescent="0.3">
      <c r="A1628" s="9" t="s">
        <v>32</v>
      </c>
      <c r="B1628" s="9" t="s">
        <v>66</v>
      </c>
      <c r="C1628" s="9" t="s">
        <v>102</v>
      </c>
      <c r="D1628" s="9">
        <v>536</v>
      </c>
    </row>
    <row r="1629" spans="1:4" x14ac:dyDescent="0.3">
      <c r="A1629" s="9" t="s">
        <v>32</v>
      </c>
      <c r="B1629" s="9" t="s">
        <v>67</v>
      </c>
      <c r="C1629" s="9" t="s">
        <v>102</v>
      </c>
      <c r="D1629" s="9">
        <v>32</v>
      </c>
    </row>
    <row r="1630" spans="1:4" x14ac:dyDescent="0.3">
      <c r="A1630" s="9" t="s">
        <v>32</v>
      </c>
      <c r="B1630" s="9" t="s">
        <v>68</v>
      </c>
      <c r="C1630" s="9" t="s">
        <v>102</v>
      </c>
      <c r="D1630" s="9">
        <v>4</v>
      </c>
    </row>
    <row r="1631" spans="1:4" x14ac:dyDescent="0.3">
      <c r="A1631" s="9" t="s">
        <v>32</v>
      </c>
      <c r="B1631" s="9" t="s">
        <v>69</v>
      </c>
      <c r="C1631" s="9" t="s">
        <v>102</v>
      </c>
      <c r="D1631" s="9">
        <v>2</v>
      </c>
    </row>
    <row r="1632" spans="1:4" x14ac:dyDescent="0.3">
      <c r="A1632" s="9" t="s">
        <v>32</v>
      </c>
      <c r="B1632" s="9" t="s">
        <v>70</v>
      </c>
      <c r="C1632" s="9" t="s">
        <v>102</v>
      </c>
      <c r="D1632" s="9">
        <v>10</v>
      </c>
    </row>
    <row r="1633" spans="1:4" x14ac:dyDescent="0.3">
      <c r="A1633" s="9" t="s">
        <v>32</v>
      </c>
      <c r="B1633" s="9" t="s">
        <v>75</v>
      </c>
      <c r="C1633" s="9" t="s">
        <v>103</v>
      </c>
      <c r="D1633" s="9">
        <v>0</v>
      </c>
    </row>
    <row r="1634" spans="1:4" x14ac:dyDescent="0.3">
      <c r="A1634" s="9" t="s">
        <v>33</v>
      </c>
      <c r="B1634" s="9" t="s">
        <v>88</v>
      </c>
      <c r="C1634" s="9" t="s">
        <v>92</v>
      </c>
      <c r="D1634" s="9">
        <v>1</v>
      </c>
    </row>
    <row r="1635" spans="1:4" x14ac:dyDescent="0.3">
      <c r="A1635" s="9" t="s">
        <v>33</v>
      </c>
      <c r="B1635" s="9" t="s">
        <v>38</v>
      </c>
      <c r="C1635" s="9" t="s">
        <v>93</v>
      </c>
      <c r="D1635" s="9">
        <v>9</v>
      </c>
    </row>
    <row r="1636" spans="1:4" x14ac:dyDescent="0.3">
      <c r="A1636" s="9" t="s">
        <v>33</v>
      </c>
      <c r="B1636" s="9" t="s">
        <v>87</v>
      </c>
      <c r="C1636" s="9" t="s">
        <v>94</v>
      </c>
      <c r="D1636" s="9">
        <v>31</v>
      </c>
    </row>
    <row r="1637" spans="1:4" x14ac:dyDescent="0.3">
      <c r="A1637" s="9" t="s">
        <v>33</v>
      </c>
      <c r="B1637" s="9" t="s">
        <v>86</v>
      </c>
      <c r="C1637" s="9" t="s">
        <v>86</v>
      </c>
      <c r="D1637" s="9">
        <v>4</v>
      </c>
    </row>
    <row r="1638" spans="1:4" x14ac:dyDescent="0.3">
      <c r="A1638" s="9" t="s">
        <v>33</v>
      </c>
      <c r="B1638" s="9" t="s">
        <v>85</v>
      </c>
      <c r="C1638" s="9" t="s">
        <v>85</v>
      </c>
      <c r="D1638" s="9">
        <v>0</v>
      </c>
    </row>
    <row r="1639" spans="1:4" x14ac:dyDescent="0.3">
      <c r="A1639" s="9" t="s">
        <v>33</v>
      </c>
      <c r="B1639" s="9" t="s">
        <v>84</v>
      </c>
      <c r="C1639" s="9" t="s">
        <v>85</v>
      </c>
      <c r="D1639" s="9">
        <v>0</v>
      </c>
    </row>
    <row r="1640" spans="1:4" x14ac:dyDescent="0.3">
      <c r="A1640" s="9" t="s">
        <v>33</v>
      </c>
      <c r="B1640" s="9" t="s">
        <v>83</v>
      </c>
      <c r="C1640" s="9" t="s">
        <v>95</v>
      </c>
      <c r="D1640" s="9">
        <v>524</v>
      </c>
    </row>
    <row r="1641" spans="1:4" x14ac:dyDescent="0.3">
      <c r="A1641" s="9" t="s">
        <v>33</v>
      </c>
      <c r="B1641" s="9" t="s">
        <v>39</v>
      </c>
      <c r="C1641" s="9" t="s">
        <v>40</v>
      </c>
      <c r="D1641" s="9">
        <v>895</v>
      </c>
    </row>
    <row r="1642" spans="1:4" x14ac:dyDescent="0.3">
      <c r="A1642" s="9" t="s">
        <v>33</v>
      </c>
      <c r="B1642" s="9" t="s">
        <v>40</v>
      </c>
      <c r="C1642" s="9" t="s">
        <v>40</v>
      </c>
      <c r="D1642" s="9">
        <v>351</v>
      </c>
    </row>
    <row r="1643" spans="1:4" x14ac:dyDescent="0.3">
      <c r="A1643" s="9" t="s">
        <v>33</v>
      </c>
      <c r="B1643" s="9" t="s">
        <v>41</v>
      </c>
      <c r="C1643" s="9" t="s">
        <v>40</v>
      </c>
      <c r="D1643" s="9">
        <v>2</v>
      </c>
    </row>
    <row r="1644" spans="1:4" x14ac:dyDescent="0.3">
      <c r="A1644" s="9" t="s">
        <v>33</v>
      </c>
      <c r="B1644" s="9" t="s">
        <v>42</v>
      </c>
      <c r="C1644" s="9" t="s">
        <v>40</v>
      </c>
      <c r="D1644" s="9">
        <v>0</v>
      </c>
    </row>
    <row r="1645" spans="1:4" x14ac:dyDescent="0.3">
      <c r="A1645" s="9" t="s">
        <v>33</v>
      </c>
      <c r="B1645" s="9" t="s">
        <v>43</v>
      </c>
      <c r="C1645" s="9" t="s">
        <v>40</v>
      </c>
      <c r="D1645" s="9">
        <v>426</v>
      </c>
    </row>
    <row r="1646" spans="1:4" x14ac:dyDescent="0.3">
      <c r="A1646" s="9" t="s">
        <v>33</v>
      </c>
      <c r="B1646" s="9" t="s">
        <v>44</v>
      </c>
      <c r="C1646" s="9" t="s">
        <v>40</v>
      </c>
      <c r="D1646" s="9">
        <v>416</v>
      </c>
    </row>
    <row r="1647" spans="1:4" x14ac:dyDescent="0.3">
      <c r="A1647" s="9" t="s">
        <v>33</v>
      </c>
      <c r="B1647" s="9" t="s">
        <v>45</v>
      </c>
      <c r="C1647" s="9" t="s">
        <v>40</v>
      </c>
      <c r="D1647" s="9">
        <v>10</v>
      </c>
    </row>
    <row r="1648" spans="1:4" x14ac:dyDescent="0.3">
      <c r="A1648" s="9" t="s">
        <v>33</v>
      </c>
      <c r="B1648" s="9" t="s">
        <v>71</v>
      </c>
      <c r="C1648" s="9" t="s">
        <v>40</v>
      </c>
      <c r="D1648" s="9">
        <v>0</v>
      </c>
    </row>
    <row r="1649" spans="1:4" x14ac:dyDescent="0.3">
      <c r="A1649" s="9" t="s">
        <v>33</v>
      </c>
      <c r="B1649" s="9" t="s">
        <v>72</v>
      </c>
      <c r="C1649" s="9" t="s">
        <v>40</v>
      </c>
      <c r="D1649" s="9">
        <v>0</v>
      </c>
    </row>
    <row r="1650" spans="1:4" x14ac:dyDescent="0.3">
      <c r="A1650" s="9" t="s">
        <v>33</v>
      </c>
      <c r="B1650" s="9" t="s">
        <v>82</v>
      </c>
      <c r="C1650" s="9" t="s">
        <v>40</v>
      </c>
      <c r="D1650" s="9">
        <v>116</v>
      </c>
    </row>
    <row r="1651" spans="1:4" x14ac:dyDescent="0.3">
      <c r="A1651" s="9" t="s">
        <v>33</v>
      </c>
      <c r="B1651" s="9" t="s">
        <v>81</v>
      </c>
      <c r="C1651" s="9" t="s">
        <v>81</v>
      </c>
      <c r="D1651" s="9">
        <v>7</v>
      </c>
    </row>
    <row r="1652" spans="1:4" x14ac:dyDescent="0.3">
      <c r="A1652" s="9" t="s">
        <v>33</v>
      </c>
      <c r="B1652" s="9" t="s">
        <v>73</v>
      </c>
      <c r="C1652" s="9" t="s">
        <v>81</v>
      </c>
      <c r="D1652" s="9">
        <v>0</v>
      </c>
    </row>
    <row r="1653" spans="1:4" x14ac:dyDescent="0.3">
      <c r="A1653" s="9" t="s">
        <v>33</v>
      </c>
      <c r="B1653" s="9" t="s">
        <v>80</v>
      </c>
      <c r="C1653" s="9" t="s">
        <v>81</v>
      </c>
      <c r="D1653" s="9">
        <v>0</v>
      </c>
    </row>
    <row r="1654" spans="1:4" x14ac:dyDescent="0.3">
      <c r="A1654" s="9" t="s">
        <v>33</v>
      </c>
      <c r="B1654" s="9" t="s">
        <v>79</v>
      </c>
      <c r="C1654" s="9" t="s">
        <v>96</v>
      </c>
      <c r="D1654" s="9">
        <v>231</v>
      </c>
    </row>
    <row r="1655" spans="1:4" x14ac:dyDescent="0.3">
      <c r="A1655" s="9" t="s">
        <v>33</v>
      </c>
      <c r="B1655" s="9" t="s">
        <v>46</v>
      </c>
      <c r="C1655" s="9" t="s">
        <v>96</v>
      </c>
      <c r="D1655" s="9">
        <v>230</v>
      </c>
    </row>
    <row r="1656" spans="1:4" x14ac:dyDescent="0.3">
      <c r="A1656" s="9" t="s">
        <v>33</v>
      </c>
      <c r="B1656" s="9" t="s">
        <v>47</v>
      </c>
      <c r="C1656" s="9" t="s">
        <v>96</v>
      </c>
      <c r="D1656" s="9">
        <v>1</v>
      </c>
    </row>
    <row r="1657" spans="1:4" x14ac:dyDescent="0.3">
      <c r="A1657" s="9" t="s">
        <v>33</v>
      </c>
      <c r="B1657" s="9" t="s">
        <v>48</v>
      </c>
      <c r="C1657" s="9" t="s">
        <v>97</v>
      </c>
      <c r="D1657" s="9">
        <v>2</v>
      </c>
    </row>
    <row r="1658" spans="1:4" x14ac:dyDescent="0.3">
      <c r="A1658" s="9" t="s">
        <v>33</v>
      </c>
      <c r="B1658" s="9" t="s">
        <v>49</v>
      </c>
      <c r="C1658" s="9" t="s">
        <v>97</v>
      </c>
      <c r="D1658" s="9">
        <v>2</v>
      </c>
    </row>
    <row r="1659" spans="1:4" x14ac:dyDescent="0.3">
      <c r="A1659" s="9" t="s">
        <v>33</v>
      </c>
      <c r="B1659" s="9" t="s">
        <v>50</v>
      </c>
      <c r="C1659" s="9" t="s">
        <v>97</v>
      </c>
      <c r="D1659" s="9">
        <v>0</v>
      </c>
    </row>
    <row r="1660" spans="1:4" x14ac:dyDescent="0.3">
      <c r="A1660" s="9" t="s">
        <v>33</v>
      </c>
      <c r="B1660" s="9" t="s">
        <v>51</v>
      </c>
      <c r="C1660" s="9" t="s">
        <v>99</v>
      </c>
      <c r="D1660" s="9">
        <v>1542</v>
      </c>
    </row>
    <row r="1661" spans="1:4" x14ac:dyDescent="0.3">
      <c r="A1661" s="9" t="s">
        <v>33</v>
      </c>
      <c r="B1661" s="9" t="s">
        <v>52</v>
      </c>
      <c r="C1661" s="9" t="s">
        <v>99</v>
      </c>
      <c r="D1661" s="9">
        <v>1541</v>
      </c>
    </row>
    <row r="1662" spans="1:4" x14ac:dyDescent="0.3">
      <c r="A1662" s="9" t="s">
        <v>33</v>
      </c>
      <c r="B1662" s="9" t="s">
        <v>53</v>
      </c>
      <c r="C1662" s="9" t="s">
        <v>99</v>
      </c>
      <c r="D1662" s="9">
        <v>1</v>
      </c>
    </row>
    <row r="1663" spans="1:4" x14ac:dyDescent="0.3">
      <c r="A1663" s="9" t="s">
        <v>33</v>
      </c>
      <c r="B1663" s="9" t="s">
        <v>54</v>
      </c>
      <c r="C1663" s="9" t="s">
        <v>98</v>
      </c>
      <c r="D1663" s="9">
        <v>21</v>
      </c>
    </row>
    <row r="1664" spans="1:4" x14ac:dyDescent="0.3">
      <c r="A1664" s="9" t="s">
        <v>33</v>
      </c>
      <c r="B1664" s="9" t="s">
        <v>55</v>
      </c>
      <c r="C1664" s="9" t="s">
        <v>98</v>
      </c>
      <c r="D1664" s="9">
        <v>21</v>
      </c>
    </row>
    <row r="1665" spans="1:4" x14ac:dyDescent="0.3">
      <c r="A1665" s="9" t="s">
        <v>33</v>
      </c>
      <c r="B1665" s="9" t="s">
        <v>56</v>
      </c>
      <c r="C1665" s="9" t="s">
        <v>98</v>
      </c>
      <c r="D1665" s="9">
        <v>0</v>
      </c>
    </row>
    <row r="1666" spans="1:4" x14ac:dyDescent="0.3">
      <c r="A1666" s="9" t="s">
        <v>33</v>
      </c>
      <c r="B1666" s="9" t="s">
        <v>74</v>
      </c>
      <c r="C1666" s="9" t="s">
        <v>74</v>
      </c>
      <c r="D1666" s="9">
        <v>15</v>
      </c>
    </row>
    <row r="1667" spans="1:4" x14ac:dyDescent="0.3">
      <c r="A1667" s="9" t="s">
        <v>33</v>
      </c>
      <c r="B1667" s="9" t="s">
        <v>57</v>
      </c>
      <c r="C1667" s="9" t="s">
        <v>100</v>
      </c>
      <c r="D1667" s="9">
        <v>8</v>
      </c>
    </row>
    <row r="1668" spans="1:4" x14ac:dyDescent="0.3">
      <c r="A1668" s="9" t="s">
        <v>33</v>
      </c>
      <c r="B1668" s="9" t="s">
        <v>76</v>
      </c>
      <c r="C1668" s="9" t="s">
        <v>100</v>
      </c>
      <c r="D1668" s="9">
        <v>0</v>
      </c>
    </row>
    <row r="1669" spans="1:4" x14ac:dyDescent="0.3">
      <c r="A1669" s="9" t="s">
        <v>33</v>
      </c>
      <c r="B1669" s="9" t="s">
        <v>58</v>
      </c>
      <c r="C1669" s="9" t="s">
        <v>100</v>
      </c>
      <c r="D1669" s="9">
        <v>0</v>
      </c>
    </row>
    <row r="1670" spans="1:4" x14ac:dyDescent="0.3">
      <c r="A1670" s="9" t="s">
        <v>33</v>
      </c>
      <c r="B1670" s="9" t="s">
        <v>59</v>
      </c>
      <c r="C1670" s="9" t="s">
        <v>100</v>
      </c>
      <c r="D1670" s="9">
        <v>0</v>
      </c>
    </row>
    <row r="1671" spans="1:4" x14ac:dyDescent="0.3">
      <c r="A1671" s="9" t="s">
        <v>33</v>
      </c>
      <c r="B1671" s="9" t="s">
        <v>60</v>
      </c>
      <c r="C1671" s="9" t="s">
        <v>100</v>
      </c>
      <c r="D1671" s="9">
        <v>0</v>
      </c>
    </row>
    <row r="1672" spans="1:4" x14ac:dyDescent="0.3">
      <c r="A1672" s="9" t="s">
        <v>33</v>
      </c>
      <c r="B1672" s="9" t="s">
        <v>61</v>
      </c>
      <c r="C1672" s="9" t="s">
        <v>100</v>
      </c>
      <c r="D1672" s="9">
        <v>8</v>
      </c>
    </row>
    <row r="1673" spans="1:4" x14ac:dyDescent="0.3">
      <c r="A1673" s="9" t="s">
        <v>33</v>
      </c>
      <c r="B1673" s="9" t="s">
        <v>78</v>
      </c>
      <c r="C1673" s="9" t="s">
        <v>95</v>
      </c>
      <c r="D1673" s="9">
        <v>0</v>
      </c>
    </row>
    <row r="1674" spans="1:4" x14ac:dyDescent="0.3">
      <c r="A1674" s="9" t="s">
        <v>33</v>
      </c>
      <c r="B1674" s="9" t="s">
        <v>62</v>
      </c>
      <c r="C1674" s="9" t="s">
        <v>101</v>
      </c>
      <c r="D1674" s="9">
        <v>43</v>
      </c>
    </row>
    <row r="1675" spans="1:4" x14ac:dyDescent="0.3">
      <c r="A1675" s="9" t="s">
        <v>33</v>
      </c>
      <c r="B1675" s="9" t="s">
        <v>63</v>
      </c>
      <c r="C1675" s="9" t="s">
        <v>101</v>
      </c>
      <c r="D1675" s="9">
        <v>39</v>
      </c>
    </row>
    <row r="1676" spans="1:4" x14ac:dyDescent="0.3">
      <c r="A1676" s="9" t="s">
        <v>33</v>
      </c>
      <c r="B1676" s="9" t="s">
        <v>64</v>
      </c>
      <c r="C1676" s="9" t="s">
        <v>101</v>
      </c>
      <c r="D1676" s="9">
        <v>4</v>
      </c>
    </row>
    <row r="1677" spans="1:4" x14ac:dyDescent="0.3">
      <c r="A1677" s="9" t="s">
        <v>33</v>
      </c>
      <c r="B1677" s="9" t="s">
        <v>77</v>
      </c>
      <c r="C1677" s="9" t="s">
        <v>102</v>
      </c>
      <c r="D1677" s="9">
        <v>320</v>
      </c>
    </row>
    <row r="1678" spans="1:4" x14ac:dyDescent="0.3">
      <c r="A1678" s="9" t="s">
        <v>33</v>
      </c>
      <c r="B1678" s="9" t="s">
        <v>65</v>
      </c>
      <c r="C1678" s="9" t="s">
        <v>102</v>
      </c>
      <c r="D1678" s="9">
        <v>214</v>
      </c>
    </row>
    <row r="1679" spans="1:4" x14ac:dyDescent="0.3">
      <c r="A1679" s="9" t="s">
        <v>33</v>
      </c>
      <c r="B1679" s="9" t="s">
        <v>66</v>
      </c>
      <c r="C1679" s="9" t="s">
        <v>102</v>
      </c>
      <c r="D1679" s="9">
        <v>76</v>
      </c>
    </row>
    <row r="1680" spans="1:4" x14ac:dyDescent="0.3">
      <c r="A1680" s="9" t="s">
        <v>33</v>
      </c>
      <c r="B1680" s="9" t="s">
        <v>67</v>
      </c>
      <c r="C1680" s="9" t="s">
        <v>102</v>
      </c>
      <c r="D1680" s="9">
        <v>13</v>
      </c>
    </row>
    <row r="1681" spans="1:4" x14ac:dyDescent="0.3">
      <c r="A1681" s="9" t="s">
        <v>33</v>
      </c>
      <c r="B1681" s="9" t="s">
        <v>68</v>
      </c>
      <c r="C1681" s="9" t="s">
        <v>102</v>
      </c>
      <c r="D1681" s="9">
        <v>17</v>
      </c>
    </row>
    <row r="1682" spans="1:4" x14ac:dyDescent="0.3">
      <c r="A1682" s="9" t="s">
        <v>33</v>
      </c>
      <c r="B1682" s="9" t="s">
        <v>69</v>
      </c>
      <c r="C1682" s="9" t="s">
        <v>102</v>
      </c>
      <c r="D1682" s="9">
        <v>0</v>
      </c>
    </row>
    <row r="1683" spans="1:4" x14ac:dyDescent="0.3">
      <c r="A1683" s="9" t="s">
        <v>33</v>
      </c>
      <c r="B1683" s="9" t="s">
        <v>70</v>
      </c>
      <c r="C1683" s="9" t="s">
        <v>102</v>
      </c>
      <c r="D1683" s="9">
        <v>0</v>
      </c>
    </row>
    <row r="1684" spans="1:4" x14ac:dyDescent="0.3">
      <c r="A1684" s="9" t="s">
        <v>33</v>
      </c>
      <c r="B1684" s="9" t="s">
        <v>75</v>
      </c>
      <c r="C1684" s="9" t="s">
        <v>103</v>
      </c>
      <c r="D1684" s="9">
        <v>0</v>
      </c>
    </row>
    <row r="1685" spans="1:4" x14ac:dyDescent="0.3">
      <c r="A1685" s="9" t="s">
        <v>34</v>
      </c>
      <c r="B1685" s="9" t="s">
        <v>88</v>
      </c>
      <c r="C1685" s="9" t="s">
        <v>92</v>
      </c>
      <c r="D1685" s="9">
        <v>0</v>
      </c>
    </row>
    <row r="1686" spans="1:4" x14ac:dyDescent="0.3">
      <c r="A1686" s="9" t="s">
        <v>34</v>
      </c>
      <c r="B1686" s="9" t="s">
        <v>38</v>
      </c>
      <c r="C1686" s="9" t="s">
        <v>93</v>
      </c>
      <c r="D1686" s="9">
        <v>0</v>
      </c>
    </row>
    <row r="1687" spans="1:4" x14ac:dyDescent="0.3">
      <c r="A1687" s="9" t="s">
        <v>34</v>
      </c>
      <c r="B1687" s="9" t="s">
        <v>87</v>
      </c>
      <c r="C1687" s="9" t="s">
        <v>94</v>
      </c>
      <c r="D1687" s="9">
        <v>0</v>
      </c>
    </row>
    <row r="1688" spans="1:4" x14ac:dyDescent="0.3">
      <c r="A1688" s="9" t="s">
        <v>34</v>
      </c>
      <c r="B1688" s="9" t="s">
        <v>86</v>
      </c>
      <c r="C1688" s="9" t="s">
        <v>86</v>
      </c>
      <c r="D1688" s="9">
        <v>0</v>
      </c>
    </row>
    <row r="1689" spans="1:4" x14ac:dyDescent="0.3">
      <c r="A1689" s="9" t="s">
        <v>34</v>
      </c>
      <c r="B1689" s="9" t="s">
        <v>85</v>
      </c>
      <c r="C1689" s="9" t="s">
        <v>85</v>
      </c>
      <c r="D1689" s="9">
        <v>0</v>
      </c>
    </row>
    <row r="1690" spans="1:4" x14ac:dyDescent="0.3">
      <c r="A1690" s="9" t="s">
        <v>34</v>
      </c>
      <c r="B1690" s="9" t="s">
        <v>84</v>
      </c>
      <c r="C1690" s="9" t="s">
        <v>85</v>
      </c>
      <c r="D1690" s="9">
        <v>0</v>
      </c>
    </row>
    <row r="1691" spans="1:4" x14ac:dyDescent="0.3">
      <c r="A1691" s="9" t="s">
        <v>34</v>
      </c>
      <c r="B1691" s="9" t="s">
        <v>83</v>
      </c>
      <c r="C1691" s="9" t="s">
        <v>95</v>
      </c>
      <c r="D1691" s="9">
        <v>6</v>
      </c>
    </row>
    <row r="1692" spans="1:4" x14ac:dyDescent="0.3">
      <c r="A1692" s="9" t="s">
        <v>34</v>
      </c>
      <c r="B1692" s="9" t="s">
        <v>39</v>
      </c>
      <c r="C1692" s="9" t="s">
        <v>40</v>
      </c>
      <c r="D1692" s="9">
        <v>3</v>
      </c>
    </row>
    <row r="1693" spans="1:4" x14ac:dyDescent="0.3">
      <c r="A1693" s="9" t="s">
        <v>34</v>
      </c>
      <c r="B1693" s="9" t="s">
        <v>40</v>
      </c>
      <c r="C1693" s="9" t="s">
        <v>40</v>
      </c>
      <c r="D1693" s="9">
        <v>3</v>
      </c>
    </row>
    <row r="1694" spans="1:4" x14ac:dyDescent="0.3">
      <c r="A1694" s="9" t="s">
        <v>34</v>
      </c>
      <c r="B1694" s="9" t="s">
        <v>41</v>
      </c>
      <c r="C1694" s="9" t="s">
        <v>40</v>
      </c>
      <c r="D1694" s="9">
        <v>0</v>
      </c>
    </row>
    <row r="1695" spans="1:4" x14ac:dyDescent="0.3">
      <c r="A1695" s="9" t="s">
        <v>34</v>
      </c>
      <c r="B1695" s="9" t="s">
        <v>42</v>
      </c>
      <c r="C1695" s="9" t="s">
        <v>40</v>
      </c>
      <c r="D1695" s="9">
        <v>0</v>
      </c>
    </row>
    <row r="1696" spans="1:4" x14ac:dyDescent="0.3">
      <c r="A1696" s="9" t="s">
        <v>34</v>
      </c>
      <c r="B1696" s="9" t="s">
        <v>43</v>
      </c>
      <c r="C1696" s="9" t="s">
        <v>40</v>
      </c>
      <c r="D1696" s="9">
        <v>0</v>
      </c>
    </row>
    <row r="1697" spans="1:4" x14ac:dyDescent="0.3">
      <c r="A1697" s="9" t="s">
        <v>34</v>
      </c>
      <c r="B1697" s="9" t="s">
        <v>44</v>
      </c>
      <c r="C1697" s="9" t="s">
        <v>40</v>
      </c>
      <c r="D1697" s="9">
        <v>0</v>
      </c>
    </row>
    <row r="1698" spans="1:4" x14ac:dyDescent="0.3">
      <c r="A1698" s="9" t="s">
        <v>34</v>
      </c>
      <c r="B1698" s="9" t="s">
        <v>45</v>
      </c>
      <c r="C1698" s="9" t="s">
        <v>40</v>
      </c>
      <c r="D1698" s="9">
        <v>0</v>
      </c>
    </row>
    <row r="1699" spans="1:4" x14ac:dyDescent="0.3">
      <c r="A1699" s="9" t="s">
        <v>34</v>
      </c>
      <c r="B1699" s="9" t="s">
        <v>71</v>
      </c>
      <c r="C1699" s="9" t="s">
        <v>40</v>
      </c>
      <c r="D1699" s="9">
        <v>0</v>
      </c>
    </row>
    <row r="1700" spans="1:4" x14ac:dyDescent="0.3">
      <c r="A1700" s="9" t="s">
        <v>34</v>
      </c>
      <c r="B1700" s="9" t="s">
        <v>72</v>
      </c>
      <c r="C1700" s="9" t="s">
        <v>40</v>
      </c>
      <c r="D1700" s="9">
        <v>0</v>
      </c>
    </row>
    <row r="1701" spans="1:4" x14ac:dyDescent="0.3">
      <c r="A1701" s="9" t="s">
        <v>34</v>
      </c>
      <c r="B1701" s="9" t="s">
        <v>82</v>
      </c>
      <c r="C1701" s="9" t="s">
        <v>40</v>
      </c>
      <c r="D1701" s="9">
        <v>0</v>
      </c>
    </row>
    <row r="1702" spans="1:4" x14ac:dyDescent="0.3">
      <c r="A1702" s="9" t="s">
        <v>34</v>
      </c>
      <c r="B1702" s="9" t="s">
        <v>81</v>
      </c>
      <c r="C1702" s="9" t="s">
        <v>81</v>
      </c>
      <c r="D1702" s="9">
        <v>0</v>
      </c>
    </row>
    <row r="1703" spans="1:4" x14ac:dyDescent="0.3">
      <c r="A1703" s="9" t="s">
        <v>34</v>
      </c>
      <c r="B1703" s="9" t="s">
        <v>73</v>
      </c>
      <c r="C1703" s="9" t="s">
        <v>81</v>
      </c>
      <c r="D1703" s="9">
        <v>0</v>
      </c>
    </row>
    <row r="1704" spans="1:4" x14ac:dyDescent="0.3">
      <c r="A1704" s="9" t="s">
        <v>34</v>
      </c>
      <c r="B1704" s="9" t="s">
        <v>80</v>
      </c>
      <c r="C1704" s="9" t="s">
        <v>81</v>
      </c>
      <c r="D1704" s="9">
        <v>0</v>
      </c>
    </row>
    <row r="1705" spans="1:4" x14ac:dyDescent="0.3">
      <c r="A1705" s="9" t="s">
        <v>34</v>
      </c>
      <c r="B1705" s="9" t="s">
        <v>79</v>
      </c>
      <c r="C1705" s="9" t="s">
        <v>96</v>
      </c>
      <c r="D1705" s="9">
        <v>2</v>
      </c>
    </row>
    <row r="1706" spans="1:4" x14ac:dyDescent="0.3">
      <c r="A1706" s="9" t="s">
        <v>34</v>
      </c>
      <c r="B1706" s="9" t="s">
        <v>46</v>
      </c>
      <c r="C1706" s="9" t="s">
        <v>96</v>
      </c>
      <c r="D1706" s="9">
        <v>2</v>
      </c>
    </row>
    <row r="1707" spans="1:4" x14ac:dyDescent="0.3">
      <c r="A1707" s="9" t="s">
        <v>34</v>
      </c>
      <c r="B1707" s="9" t="s">
        <v>47</v>
      </c>
      <c r="C1707" s="9" t="s">
        <v>96</v>
      </c>
      <c r="D1707" s="9">
        <v>0</v>
      </c>
    </row>
    <row r="1708" spans="1:4" x14ac:dyDescent="0.3">
      <c r="A1708" s="9" t="s">
        <v>34</v>
      </c>
      <c r="B1708" s="9" t="s">
        <v>48</v>
      </c>
      <c r="C1708" s="9" t="s">
        <v>97</v>
      </c>
      <c r="D1708" s="9">
        <v>0</v>
      </c>
    </row>
    <row r="1709" spans="1:4" x14ac:dyDescent="0.3">
      <c r="A1709" s="9" t="s">
        <v>34</v>
      </c>
      <c r="B1709" s="9" t="s">
        <v>49</v>
      </c>
      <c r="C1709" s="9" t="s">
        <v>97</v>
      </c>
      <c r="D1709" s="9">
        <v>0</v>
      </c>
    </row>
    <row r="1710" spans="1:4" x14ac:dyDescent="0.3">
      <c r="A1710" s="9" t="s">
        <v>34</v>
      </c>
      <c r="B1710" s="9" t="s">
        <v>50</v>
      </c>
      <c r="C1710" s="9" t="s">
        <v>97</v>
      </c>
      <c r="D1710" s="9">
        <v>0</v>
      </c>
    </row>
    <row r="1711" spans="1:4" x14ac:dyDescent="0.3">
      <c r="A1711" s="9" t="s">
        <v>34</v>
      </c>
      <c r="B1711" s="9" t="s">
        <v>51</v>
      </c>
      <c r="C1711" s="9" t="s">
        <v>99</v>
      </c>
      <c r="D1711" s="9">
        <v>2</v>
      </c>
    </row>
    <row r="1712" spans="1:4" x14ac:dyDescent="0.3">
      <c r="A1712" s="9" t="s">
        <v>34</v>
      </c>
      <c r="B1712" s="9" t="s">
        <v>52</v>
      </c>
      <c r="C1712" s="9" t="s">
        <v>99</v>
      </c>
      <c r="D1712" s="9">
        <v>2</v>
      </c>
    </row>
    <row r="1713" spans="1:4" x14ac:dyDescent="0.3">
      <c r="A1713" s="9" t="s">
        <v>34</v>
      </c>
      <c r="B1713" s="9" t="s">
        <v>53</v>
      </c>
      <c r="C1713" s="9" t="s">
        <v>99</v>
      </c>
      <c r="D1713" s="9">
        <v>0</v>
      </c>
    </row>
    <row r="1714" spans="1:4" x14ac:dyDescent="0.3">
      <c r="A1714" s="9" t="s">
        <v>34</v>
      </c>
      <c r="B1714" s="9" t="s">
        <v>54</v>
      </c>
      <c r="C1714" s="9" t="s">
        <v>98</v>
      </c>
      <c r="D1714" s="9">
        <v>4</v>
      </c>
    </row>
    <row r="1715" spans="1:4" x14ac:dyDescent="0.3">
      <c r="A1715" s="9" t="s">
        <v>34</v>
      </c>
      <c r="B1715" s="9" t="s">
        <v>55</v>
      </c>
      <c r="C1715" s="9" t="s">
        <v>98</v>
      </c>
      <c r="D1715" s="9">
        <v>4</v>
      </c>
    </row>
    <row r="1716" spans="1:4" x14ac:dyDescent="0.3">
      <c r="A1716" s="9" t="s">
        <v>34</v>
      </c>
      <c r="B1716" s="9" t="s">
        <v>56</v>
      </c>
      <c r="C1716" s="9" t="s">
        <v>98</v>
      </c>
      <c r="D1716" s="9">
        <v>0</v>
      </c>
    </row>
    <row r="1717" spans="1:4" x14ac:dyDescent="0.3">
      <c r="A1717" s="9" t="s">
        <v>34</v>
      </c>
      <c r="B1717" s="9" t="s">
        <v>74</v>
      </c>
      <c r="C1717" s="9" t="s">
        <v>74</v>
      </c>
      <c r="D1717" s="9">
        <v>0</v>
      </c>
    </row>
    <row r="1718" spans="1:4" x14ac:dyDescent="0.3">
      <c r="A1718" s="9" t="s">
        <v>34</v>
      </c>
      <c r="B1718" s="9" t="s">
        <v>57</v>
      </c>
      <c r="C1718" s="9" t="s">
        <v>100</v>
      </c>
      <c r="D1718" s="9">
        <v>0</v>
      </c>
    </row>
    <row r="1719" spans="1:4" x14ac:dyDescent="0.3">
      <c r="A1719" s="9" t="s">
        <v>34</v>
      </c>
      <c r="B1719" s="9" t="s">
        <v>76</v>
      </c>
      <c r="C1719" s="9" t="s">
        <v>100</v>
      </c>
      <c r="D1719" s="9">
        <v>0</v>
      </c>
    </row>
    <row r="1720" spans="1:4" x14ac:dyDescent="0.3">
      <c r="A1720" s="9" t="s">
        <v>34</v>
      </c>
      <c r="B1720" s="9" t="s">
        <v>58</v>
      </c>
      <c r="C1720" s="9" t="s">
        <v>100</v>
      </c>
      <c r="D1720" s="9">
        <v>0</v>
      </c>
    </row>
    <row r="1721" spans="1:4" x14ac:dyDescent="0.3">
      <c r="A1721" s="9" t="s">
        <v>34</v>
      </c>
      <c r="B1721" s="9" t="s">
        <v>59</v>
      </c>
      <c r="C1721" s="9" t="s">
        <v>100</v>
      </c>
      <c r="D1721" s="9">
        <v>0</v>
      </c>
    </row>
    <row r="1722" spans="1:4" x14ac:dyDescent="0.3">
      <c r="A1722" s="9" t="s">
        <v>34</v>
      </c>
      <c r="B1722" s="9" t="s">
        <v>60</v>
      </c>
      <c r="C1722" s="9" t="s">
        <v>100</v>
      </c>
      <c r="D1722" s="9">
        <v>0</v>
      </c>
    </row>
    <row r="1723" spans="1:4" x14ac:dyDescent="0.3">
      <c r="A1723" s="9" t="s">
        <v>34</v>
      </c>
      <c r="B1723" s="9" t="s">
        <v>61</v>
      </c>
      <c r="C1723" s="9" t="s">
        <v>100</v>
      </c>
      <c r="D1723" s="9">
        <v>0</v>
      </c>
    </row>
    <row r="1724" spans="1:4" x14ac:dyDescent="0.3">
      <c r="A1724" s="9" t="s">
        <v>34</v>
      </c>
      <c r="B1724" s="9" t="s">
        <v>78</v>
      </c>
      <c r="C1724" s="9" t="s">
        <v>95</v>
      </c>
      <c r="D1724" s="9">
        <v>0</v>
      </c>
    </row>
    <row r="1725" spans="1:4" x14ac:dyDescent="0.3">
      <c r="A1725" s="9" t="s">
        <v>34</v>
      </c>
      <c r="B1725" s="9" t="s">
        <v>62</v>
      </c>
      <c r="C1725" s="9" t="s">
        <v>101</v>
      </c>
      <c r="D1725" s="9">
        <v>0</v>
      </c>
    </row>
    <row r="1726" spans="1:4" x14ac:dyDescent="0.3">
      <c r="A1726" s="9" t="s">
        <v>34</v>
      </c>
      <c r="B1726" s="9" t="s">
        <v>63</v>
      </c>
      <c r="C1726" s="9" t="s">
        <v>101</v>
      </c>
      <c r="D1726" s="9">
        <v>0</v>
      </c>
    </row>
    <row r="1727" spans="1:4" x14ac:dyDescent="0.3">
      <c r="A1727" s="9" t="s">
        <v>34</v>
      </c>
      <c r="B1727" s="9" t="s">
        <v>64</v>
      </c>
      <c r="C1727" s="9" t="s">
        <v>101</v>
      </c>
      <c r="D1727" s="9">
        <v>0</v>
      </c>
    </row>
    <row r="1728" spans="1:4" x14ac:dyDescent="0.3">
      <c r="A1728" s="9" t="s">
        <v>34</v>
      </c>
      <c r="B1728" s="9" t="s">
        <v>77</v>
      </c>
      <c r="C1728" s="9" t="s">
        <v>102</v>
      </c>
      <c r="D1728" s="9">
        <v>3</v>
      </c>
    </row>
    <row r="1729" spans="1:4" x14ac:dyDescent="0.3">
      <c r="A1729" s="9" t="s">
        <v>34</v>
      </c>
      <c r="B1729" s="9" t="s">
        <v>65</v>
      </c>
      <c r="C1729" s="9" t="s">
        <v>102</v>
      </c>
      <c r="D1729" s="9">
        <v>3</v>
      </c>
    </row>
    <row r="1730" spans="1:4" x14ac:dyDescent="0.3">
      <c r="A1730" s="9" t="s">
        <v>34</v>
      </c>
      <c r="B1730" s="9" t="s">
        <v>66</v>
      </c>
      <c r="C1730" s="9" t="s">
        <v>102</v>
      </c>
      <c r="D1730" s="9">
        <v>0</v>
      </c>
    </row>
    <row r="1731" spans="1:4" x14ac:dyDescent="0.3">
      <c r="A1731" s="9" t="s">
        <v>34</v>
      </c>
      <c r="B1731" s="9" t="s">
        <v>67</v>
      </c>
      <c r="C1731" s="9" t="s">
        <v>102</v>
      </c>
      <c r="D1731" s="9">
        <v>0</v>
      </c>
    </row>
    <row r="1732" spans="1:4" x14ac:dyDescent="0.3">
      <c r="A1732" s="9" t="s">
        <v>34</v>
      </c>
      <c r="B1732" s="9" t="s">
        <v>68</v>
      </c>
      <c r="C1732" s="9" t="s">
        <v>102</v>
      </c>
      <c r="D1732" s="9">
        <v>0</v>
      </c>
    </row>
    <row r="1733" spans="1:4" x14ac:dyDescent="0.3">
      <c r="A1733" s="9" t="s">
        <v>34</v>
      </c>
      <c r="B1733" s="9" t="s">
        <v>69</v>
      </c>
      <c r="C1733" s="9" t="s">
        <v>102</v>
      </c>
      <c r="D1733" s="9">
        <v>0</v>
      </c>
    </row>
    <row r="1734" spans="1:4" x14ac:dyDescent="0.3">
      <c r="A1734" s="9" t="s">
        <v>34</v>
      </c>
      <c r="B1734" s="9" t="s">
        <v>70</v>
      </c>
      <c r="C1734" s="9" t="s">
        <v>102</v>
      </c>
      <c r="D1734" s="9">
        <v>0</v>
      </c>
    </row>
    <row r="1735" spans="1:4" x14ac:dyDescent="0.3">
      <c r="A1735" s="9" t="s">
        <v>34</v>
      </c>
      <c r="B1735" s="9" t="s">
        <v>75</v>
      </c>
      <c r="C1735" s="9" t="s">
        <v>103</v>
      </c>
      <c r="D1735" s="9">
        <v>0</v>
      </c>
    </row>
    <row r="1736" spans="1:4" x14ac:dyDescent="0.3">
      <c r="A1736" s="9" t="s">
        <v>35</v>
      </c>
      <c r="B1736" s="9" t="s">
        <v>88</v>
      </c>
      <c r="C1736" s="9" t="s">
        <v>92</v>
      </c>
      <c r="D1736" s="9">
        <v>0</v>
      </c>
    </row>
    <row r="1737" spans="1:4" x14ac:dyDescent="0.3">
      <c r="A1737" s="9" t="s">
        <v>35</v>
      </c>
      <c r="B1737" s="9" t="s">
        <v>38</v>
      </c>
      <c r="C1737" s="9" t="s">
        <v>93</v>
      </c>
      <c r="D1737" s="9">
        <v>0</v>
      </c>
    </row>
    <row r="1738" spans="1:4" x14ac:dyDescent="0.3">
      <c r="A1738" s="9" t="s">
        <v>35</v>
      </c>
      <c r="B1738" s="9" t="s">
        <v>87</v>
      </c>
      <c r="C1738" s="9" t="s">
        <v>94</v>
      </c>
      <c r="D1738" s="9">
        <v>0</v>
      </c>
    </row>
    <row r="1739" spans="1:4" x14ac:dyDescent="0.3">
      <c r="A1739" s="9" t="s">
        <v>35</v>
      </c>
      <c r="B1739" s="9" t="s">
        <v>86</v>
      </c>
      <c r="C1739" s="9" t="s">
        <v>86</v>
      </c>
      <c r="D1739" s="9">
        <v>0</v>
      </c>
    </row>
    <row r="1740" spans="1:4" x14ac:dyDescent="0.3">
      <c r="A1740" s="9" t="s">
        <v>35</v>
      </c>
      <c r="B1740" s="9" t="s">
        <v>85</v>
      </c>
      <c r="C1740" s="9" t="s">
        <v>85</v>
      </c>
      <c r="D1740" s="9">
        <v>0</v>
      </c>
    </row>
    <row r="1741" spans="1:4" x14ac:dyDescent="0.3">
      <c r="A1741" s="9" t="s">
        <v>35</v>
      </c>
      <c r="B1741" s="9" t="s">
        <v>84</v>
      </c>
      <c r="C1741" s="9" t="s">
        <v>85</v>
      </c>
      <c r="D1741" s="9">
        <v>0</v>
      </c>
    </row>
    <row r="1742" spans="1:4" x14ac:dyDescent="0.3">
      <c r="A1742" s="9" t="s">
        <v>35</v>
      </c>
      <c r="B1742" s="9" t="s">
        <v>83</v>
      </c>
      <c r="C1742" s="9" t="s">
        <v>95</v>
      </c>
      <c r="D1742" s="9">
        <v>3</v>
      </c>
    </row>
    <row r="1743" spans="1:4" x14ac:dyDescent="0.3">
      <c r="A1743" s="9" t="s">
        <v>35</v>
      </c>
      <c r="B1743" s="9" t="s">
        <v>39</v>
      </c>
      <c r="C1743" s="9" t="s">
        <v>40</v>
      </c>
      <c r="D1743" s="9">
        <v>0</v>
      </c>
    </row>
    <row r="1744" spans="1:4" x14ac:dyDescent="0.3">
      <c r="A1744" s="9" t="s">
        <v>35</v>
      </c>
      <c r="B1744" s="9" t="s">
        <v>40</v>
      </c>
      <c r="C1744" s="9" t="s">
        <v>40</v>
      </c>
      <c r="D1744" s="9">
        <v>0</v>
      </c>
    </row>
    <row r="1745" spans="1:4" x14ac:dyDescent="0.3">
      <c r="A1745" s="9" t="s">
        <v>35</v>
      </c>
      <c r="B1745" s="9" t="s">
        <v>41</v>
      </c>
      <c r="C1745" s="9" t="s">
        <v>40</v>
      </c>
      <c r="D1745" s="9">
        <v>0</v>
      </c>
    </row>
    <row r="1746" spans="1:4" x14ac:dyDescent="0.3">
      <c r="A1746" s="9" t="s">
        <v>35</v>
      </c>
      <c r="B1746" s="9" t="s">
        <v>42</v>
      </c>
      <c r="C1746" s="9" t="s">
        <v>40</v>
      </c>
      <c r="D1746" s="9">
        <v>0</v>
      </c>
    </row>
    <row r="1747" spans="1:4" x14ac:dyDescent="0.3">
      <c r="A1747" s="9" t="s">
        <v>35</v>
      </c>
      <c r="B1747" s="9" t="s">
        <v>43</v>
      </c>
      <c r="C1747" s="9" t="s">
        <v>40</v>
      </c>
      <c r="D1747" s="9">
        <v>0</v>
      </c>
    </row>
    <row r="1748" spans="1:4" x14ac:dyDescent="0.3">
      <c r="A1748" s="9" t="s">
        <v>35</v>
      </c>
      <c r="B1748" s="9" t="s">
        <v>44</v>
      </c>
      <c r="C1748" s="9" t="s">
        <v>40</v>
      </c>
      <c r="D1748" s="9">
        <v>0</v>
      </c>
    </row>
    <row r="1749" spans="1:4" x14ac:dyDescent="0.3">
      <c r="A1749" s="9" t="s">
        <v>35</v>
      </c>
      <c r="B1749" s="9" t="s">
        <v>45</v>
      </c>
      <c r="C1749" s="9" t="s">
        <v>40</v>
      </c>
      <c r="D1749" s="9">
        <v>0</v>
      </c>
    </row>
    <row r="1750" spans="1:4" x14ac:dyDescent="0.3">
      <c r="A1750" s="9" t="s">
        <v>35</v>
      </c>
      <c r="B1750" s="9" t="s">
        <v>71</v>
      </c>
      <c r="C1750" s="9" t="s">
        <v>40</v>
      </c>
      <c r="D1750" s="9">
        <v>0</v>
      </c>
    </row>
    <row r="1751" spans="1:4" x14ac:dyDescent="0.3">
      <c r="A1751" s="9" t="s">
        <v>35</v>
      </c>
      <c r="B1751" s="9" t="s">
        <v>72</v>
      </c>
      <c r="C1751" s="9" t="s">
        <v>40</v>
      </c>
      <c r="D1751" s="9">
        <v>0</v>
      </c>
    </row>
    <row r="1752" spans="1:4" x14ac:dyDescent="0.3">
      <c r="A1752" s="9" t="s">
        <v>35</v>
      </c>
      <c r="B1752" s="9" t="s">
        <v>82</v>
      </c>
      <c r="C1752" s="9" t="s">
        <v>40</v>
      </c>
      <c r="D1752" s="9">
        <v>0</v>
      </c>
    </row>
    <row r="1753" spans="1:4" x14ac:dyDescent="0.3">
      <c r="A1753" s="9" t="s">
        <v>35</v>
      </c>
      <c r="B1753" s="9" t="s">
        <v>81</v>
      </c>
      <c r="C1753" s="9" t="s">
        <v>81</v>
      </c>
      <c r="D1753" s="9">
        <v>0</v>
      </c>
    </row>
    <row r="1754" spans="1:4" x14ac:dyDescent="0.3">
      <c r="A1754" s="9" t="s">
        <v>35</v>
      </c>
      <c r="B1754" s="9" t="s">
        <v>73</v>
      </c>
      <c r="C1754" s="9" t="s">
        <v>81</v>
      </c>
      <c r="D1754" s="9">
        <v>0</v>
      </c>
    </row>
    <row r="1755" spans="1:4" x14ac:dyDescent="0.3">
      <c r="A1755" s="9" t="s">
        <v>35</v>
      </c>
      <c r="B1755" s="9" t="s">
        <v>80</v>
      </c>
      <c r="C1755" s="9" t="s">
        <v>81</v>
      </c>
      <c r="D1755" s="9">
        <v>0</v>
      </c>
    </row>
    <row r="1756" spans="1:4" x14ac:dyDescent="0.3">
      <c r="A1756" s="9" t="s">
        <v>35</v>
      </c>
      <c r="B1756" s="9" t="s">
        <v>79</v>
      </c>
      <c r="C1756" s="9" t="s">
        <v>96</v>
      </c>
      <c r="D1756" s="9">
        <v>1</v>
      </c>
    </row>
    <row r="1757" spans="1:4" x14ac:dyDescent="0.3">
      <c r="A1757" s="9" t="s">
        <v>35</v>
      </c>
      <c r="B1757" s="9" t="s">
        <v>46</v>
      </c>
      <c r="C1757" s="9" t="s">
        <v>96</v>
      </c>
      <c r="D1757" s="9">
        <v>1</v>
      </c>
    </row>
    <row r="1758" spans="1:4" x14ac:dyDescent="0.3">
      <c r="A1758" s="9" t="s">
        <v>35</v>
      </c>
      <c r="B1758" s="9" t="s">
        <v>47</v>
      </c>
      <c r="C1758" s="9" t="s">
        <v>96</v>
      </c>
      <c r="D1758" s="9">
        <v>0</v>
      </c>
    </row>
    <row r="1759" spans="1:4" x14ac:dyDescent="0.3">
      <c r="A1759" s="9" t="s">
        <v>35</v>
      </c>
      <c r="B1759" s="9" t="s">
        <v>48</v>
      </c>
      <c r="C1759" s="9" t="s">
        <v>97</v>
      </c>
      <c r="D1759" s="9">
        <v>0</v>
      </c>
    </row>
    <row r="1760" spans="1:4" x14ac:dyDescent="0.3">
      <c r="A1760" s="9" t="s">
        <v>35</v>
      </c>
      <c r="B1760" s="9" t="s">
        <v>49</v>
      </c>
      <c r="C1760" s="9" t="s">
        <v>97</v>
      </c>
      <c r="D1760" s="9">
        <v>0</v>
      </c>
    </row>
    <row r="1761" spans="1:4" x14ac:dyDescent="0.3">
      <c r="A1761" s="9" t="s">
        <v>35</v>
      </c>
      <c r="B1761" s="9" t="s">
        <v>50</v>
      </c>
      <c r="C1761" s="9" t="s">
        <v>97</v>
      </c>
      <c r="D1761" s="9">
        <v>0</v>
      </c>
    </row>
    <row r="1762" spans="1:4" x14ac:dyDescent="0.3">
      <c r="A1762" s="9" t="s">
        <v>35</v>
      </c>
      <c r="B1762" s="9" t="s">
        <v>51</v>
      </c>
      <c r="C1762" s="9" t="s">
        <v>99</v>
      </c>
      <c r="D1762" s="9">
        <v>7</v>
      </c>
    </row>
    <row r="1763" spans="1:4" x14ac:dyDescent="0.3">
      <c r="A1763" s="9" t="s">
        <v>35</v>
      </c>
      <c r="B1763" s="9" t="s">
        <v>52</v>
      </c>
      <c r="C1763" s="9" t="s">
        <v>99</v>
      </c>
      <c r="D1763" s="9">
        <v>7</v>
      </c>
    </row>
    <row r="1764" spans="1:4" x14ac:dyDescent="0.3">
      <c r="A1764" s="9" t="s">
        <v>35</v>
      </c>
      <c r="B1764" s="9" t="s">
        <v>53</v>
      </c>
      <c r="C1764" s="9" t="s">
        <v>99</v>
      </c>
      <c r="D1764" s="9">
        <v>0</v>
      </c>
    </row>
    <row r="1765" spans="1:4" x14ac:dyDescent="0.3">
      <c r="A1765" s="9" t="s">
        <v>35</v>
      </c>
      <c r="B1765" s="9" t="s">
        <v>54</v>
      </c>
      <c r="C1765" s="9" t="s">
        <v>98</v>
      </c>
      <c r="D1765" s="9">
        <v>1</v>
      </c>
    </row>
    <row r="1766" spans="1:4" x14ac:dyDescent="0.3">
      <c r="A1766" s="9" t="s">
        <v>35</v>
      </c>
      <c r="B1766" s="9" t="s">
        <v>55</v>
      </c>
      <c r="C1766" s="9" t="s">
        <v>98</v>
      </c>
      <c r="D1766" s="9">
        <v>1</v>
      </c>
    </row>
    <row r="1767" spans="1:4" x14ac:dyDescent="0.3">
      <c r="A1767" s="9" t="s">
        <v>35</v>
      </c>
      <c r="B1767" s="9" t="s">
        <v>56</v>
      </c>
      <c r="C1767" s="9" t="s">
        <v>98</v>
      </c>
      <c r="D1767" s="9">
        <v>0</v>
      </c>
    </row>
    <row r="1768" spans="1:4" x14ac:dyDescent="0.3">
      <c r="A1768" s="9" t="s">
        <v>35</v>
      </c>
      <c r="B1768" s="9" t="s">
        <v>74</v>
      </c>
      <c r="C1768" s="9" t="s">
        <v>74</v>
      </c>
      <c r="D1768" s="9">
        <v>0</v>
      </c>
    </row>
    <row r="1769" spans="1:4" x14ac:dyDescent="0.3">
      <c r="A1769" s="9" t="s">
        <v>35</v>
      </c>
      <c r="B1769" s="9" t="s">
        <v>57</v>
      </c>
      <c r="C1769" s="9" t="s">
        <v>100</v>
      </c>
      <c r="D1769" s="9">
        <v>0</v>
      </c>
    </row>
    <row r="1770" spans="1:4" x14ac:dyDescent="0.3">
      <c r="A1770" s="9" t="s">
        <v>35</v>
      </c>
      <c r="B1770" s="9" t="s">
        <v>76</v>
      </c>
      <c r="C1770" s="9" t="s">
        <v>100</v>
      </c>
      <c r="D1770" s="9">
        <v>0</v>
      </c>
    </row>
    <row r="1771" spans="1:4" x14ac:dyDescent="0.3">
      <c r="A1771" s="9" t="s">
        <v>35</v>
      </c>
      <c r="B1771" s="9" t="s">
        <v>58</v>
      </c>
      <c r="C1771" s="9" t="s">
        <v>100</v>
      </c>
      <c r="D1771" s="9">
        <v>0</v>
      </c>
    </row>
    <row r="1772" spans="1:4" x14ac:dyDescent="0.3">
      <c r="A1772" s="9" t="s">
        <v>35</v>
      </c>
      <c r="B1772" s="9" t="s">
        <v>59</v>
      </c>
      <c r="C1772" s="9" t="s">
        <v>100</v>
      </c>
      <c r="D1772" s="9">
        <v>0</v>
      </c>
    </row>
    <row r="1773" spans="1:4" x14ac:dyDescent="0.3">
      <c r="A1773" s="9" t="s">
        <v>35</v>
      </c>
      <c r="B1773" s="9" t="s">
        <v>60</v>
      </c>
      <c r="C1773" s="9" t="s">
        <v>100</v>
      </c>
      <c r="D1773" s="9">
        <v>0</v>
      </c>
    </row>
    <row r="1774" spans="1:4" x14ac:dyDescent="0.3">
      <c r="A1774" s="9" t="s">
        <v>35</v>
      </c>
      <c r="B1774" s="9" t="s">
        <v>61</v>
      </c>
      <c r="C1774" s="9" t="s">
        <v>100</v>
      </c>
      <c r="D1774" s="9">
        <v>0</v>
      </c>
    </row>
    <row r="1775" spans="1:4" x14ac:dyDescent="0.3">
      <c r="A1775" s="9" t="s">
        <v>35</v>
      </c>
      <c r="B1775" s="9" t="s">
        <v>78</v>
      </c>
      <c r="C1775" s="9" t="s">
        <v>95</v>
      </c>
      <c r="D1775" s="9">
        <v>0</v>
      </c>
    </row>
    <row r="1776" spans="1:4" x14ac:dyDescent="0.3">
      <c r="A1776" s="9" t="s">
        <v>35</v>
      </c>
      <c r="B1776" s="9" t="s">
        <v>62</v>
      </c>
      <c r="C1776" s="9" t="s">
        <v>101</v>
      </c>
      <c r="D1776" s="9">
        <v>1</v>
      </c>
    </row>
    <row r="1777" spans="1:4" x14ac:dyDescent="0.3">
      <c r="A1777" s="9" t="s">
        <v>35</v>
      </c>
      <c r="B1777" s="9" t="s">
        <v>63</v>
      </c>
      <c r="C1777" s="9" t="s">
        <v>101</v>
      </c>
      <c r="D1777" s="9">
        <v>1</v>
      </c>
    </row>
    <row r="1778" spans="1:4" x14ac:dyDescent="0.3">
      <c r="A1778" s="9" t="s">
        <v>35</v>
      </c>
      <c r="B1778" s="9" t="s">
        <v>64</v>
      </c>
      <c r="C1778" s="9" t="s">
        <v>101</v>
      </c>
      <c r="D1778" s="9">
        <v>0</v>
      </c>
    </row>
    <row r="1779" spans="1:4" x14ac:dyDescent="0.3">
      <c r="A1779" s="9" t="s">
        <v>35</v>
      </c>
      <c r="B1779" s="9" t="s">
        <v>77</v>
      </c>
      <c r="C1779" s="9" t="s">
        <v>102</v>
      </c>
      <c r="D1779" s="9">
        <v>9</v>
      </c>
    </row>
    <row r="1780" spans="1:4" x14ac:dyDescent="0.3">
      <c r="A1780" s="9" t="s">
        <v>35</v>
      </c>
      <c r="B1780" s="9" t="s">
        <v>65</v>
      </c>
      <c r="C1780" s="9" t="s">
        <v>102</v>
      </c>
      <c r="D1780" s="9">
        <v>1</v>
      </c>
    </row>
    <row r="1781" spans="1:4" x14ac:dyDescent="0.3">
      <c r="A1781" s="9" t="s">
        <v>35</v>
      </c>
      <c r="B1781" s="9" t="s">
        <v>66</v>
      </c>
      <c r="C1781" s="9" t="s">
        <v>102</v>
      </c>
      <c r="D1781" s="9">
        <v>5</v>
      </c>
    </row>
    <row r="1782" spans="1:4" x14ac:dyDescent="0.3">
      <c r="A1782" s="9" t="s">
        <v>35</v>
      </c>
      <c r="B1782" s="9" t="s">
        <v>67</v>
      </c>
      <c r="C1782" s="9" t="s">
        <v>102</v>
      </c>
      <c r="D1782" s="9">
        <v>0</v>
      </c>
    </row>
    <row r="1783" spans="1:4" x14ac:dyDescent="0.3">
      <c r="A1783" s="9" t="s">
        <v>35</v>
      </c>
      <c r="B1783" s="9" t="s">
        <v>68</v>
      </c>
      <c r="C1783" s="9" t="s">
        <v>102</v>
      </c>
      <c r="D1783" s="9">
        <v>2</v>
      </c>
    </row>
    <row r="1784" spans="1:4" x14ac:dyDescent="0.3">
      <c r="A1784" s="9" t="s">
        <v>35</v>
      </c>
      <c r="B1784" s="9" t="s">
        <v>69</v>
      </c>
      <c r="C1784" s="9" t="s">
        <v>102</v>
      </c>
      <c r="D1784" s="9">
        <v>1</v>
      </c>
    </row>
    <row r="1785" spans="1:4" x14ac:dyDescent="0.3">
      <c r="A1785" s="9" t="s">
        <v>35</v>
      </c>
      <c r="B1785" s="9" t="s">
        <v>70</v>
      </c>
      <c r="C1785" s="9" t="s">
        <v>102</v>
      </c>
      <c r="D1785" s="9">
        <v>0</v>
      </c>
    </row>
    <row r="1786" spans="1:4" x14ac:dyDescent="0.3">
      <c r="A1786" s="9" t="s">
        <v>35</v>
      </c>
      <c r="B1786" s="9" t="s">
        <v>75</v>
      </c>
      <c r="C1786" s="9" t="s">
        <v>103</v>
      </c>
      <c r="D1786" s="9">
        <v>1</v>
      </c>
    </row>
    <row r="1787" spans="1:4" x14ac:dyDescent="0.3">
      <c r="A1787" s="9" t="s">
        <v>36</v>
      </c>
      <c r="B1787" s="9" t="s">
        <v>88</v>
      </c>
      <c r="C1787" s="9" t="s">
        <v>92</v>
      </c>
      <c r="D1787" s="9">
        <v>0</v>
      </c>
    </row>
    <row r="1788" spans="1:4" x14ac:dyDescent="0.3">
      <c r="A1788" s="9" t="s">
        <v>36</v>
      </c>
      <c r="B1788" s="9" t="s">
        <v>38</v>
      </c>
      <c r="C1788" s="9" t="s">
        <v>93</v>
      </c>
      <c r="D1788" s="9">
        <v>1</v>
      </c>
    </row>
    <row r="1789" spans="1:4" x14ac:dyDescent="0.3">
      <c r="A1789" s="9" t="s">
        <v>36</v>
      </c>
      <c r="B1789" s="9" t="s">
        <v>87</v>
      </c>
      <c r="C1789" s="9" t="s">
        <v>94</v>
      </c>
      <c r="D1789" s="9">
        <v>4</v>
      </c>
    </row>
    <row r="1790" spans="1:4" x14ac:dyDescent="0.3">
      <c r="A1790" s="9" t="s">
        <v>36</v>
      </c>
      <c r="B1790" s="9" t="s">
        <v>86</v>
      </c>
      <c r="C1790" s="9" t="s">
        <v>86</v>
      </c>
      <c r="D1790" s="9">
        <v>0</v>
      </c>
    </row>
    <row r="1791" spans="1:4" x14ac:dyDescent="0.3">
      <c r="A1791" s="9" t="s">
        <v>36</v>
      </c>
      <c r="B1791" s="9" t="s">
        <v>85</v>
      </c>
      <c r="C1791" s="9" t="s">
        <v>85</v>
      </c>
      <c r="D1791" s="9">
        <v>0</v>
      </c>
    </row>
    <row r="1792" spans="1:4" x14ac:dyDescent="0.3">
      <c r="A1792" s="9" t="s">
        <v>36</v>
      </c>
      <c r="B1792" s="9" t="s">
        <v>84</v>
      </c>
      <c r="C1792" s="9" t="s">
        <v>85</v>
      </c>
      <c r="D1792" s="9">
        <v>0</v>
      </c>
    </row>
    <row r="1793" spans="1:4" x14ac:dyDescent="0.3">
      <c r="A1793" s="9" t="s">
        <v>36</v>
      </c>
      <c r="B1793" s="9" t="s">
        <v>83</v>
      </c>
      <c r="C1793" s="9" t="s">
        <v>95</v>
      </c>
      <c r="D1793" s="9">
        <v>9</v>
      </c>
    </row>
    <row r="1794" spans="1:4" x14ac:dyDescent="0.3">
      <c r="A1794" s="9" t="s">
        <v>36</v>
      </c>
      <c r="B1794" s="9" t="s">
        <v>39</v>
      </c>
      <c r="C1794" s="9" t="s">
        <v>40</v>
      </c>
      <c r="D1794" s="9">
        <v>16</v>
      </c>
    </row>
    <row r="1795" spans="1:4" x14ac:dyDescent="0.3">
      <c r="A1795" s="9" t="s">
        <v>36</v>
      </c>
      <c r="B1795" s="9" t="s">
        <v>40</v>
      </c>
      <c r="C1795" s="9" t="s">
        <v>40</v>
      </c>
      <c r="D1795" s="9">
        <v>15</v>
      </c>
    </row>
    <row r="1796" spans="1:4" x14ac:dyDescent="0.3">
      <c r="A1796" s="9" t="s">
        <v>36</v>
      </c>
      <c r="B1796" s="9" t="s">
        <v>41</v>
      </c>
      <c r="C1796" s="9" t="s">
        <v>40</v>
      </c>
      <c r="D1796" s="9">
        <v>0</v>
      </c>
    </row>
    <row r="1797" spans="1:4" x14ac:dyDescent="0.3">
      <c r="A1797" s="9" t="s">
        <v>36</v>
      </c>
      <c r="B1797" s="9" t="s">
        <v>42</v>
      </c>
      <c r="C1797" s="9" t="s">
        <v>40</v>
      </c>
      <c r="D1797" s="9">
        <v>0</v>
      </c>
    </row>
    <row r="1798" spans="1:4" x14ac:dyDescent="0.3">
      <c r="A1798" s="9" t="s">
        <v>36</v>
      </c>
      <c r="B1798" s="9" t="s">
        <v>43</v>
      </c>
      <c r="C1798" s="9" t="s">
        <v>40</v>
      </c>
      <c r="D1798" s="9">
        <v>0</v>
      </c>
    </row>
    <row r="1799" spans="1:4" x14ac:dyDescent="0.3">
      <c r="A1799" s="9" t="s">
        <v>36</v>
      </c>
      <c r="B1799" s="9" t="s">
        <v>44</v>
      </c>
      <c r="C1799" s="9" t="s">
        <v>40</v>
      </c>
      <c r="D1799" s="9">
        <v>0</v>
      </c>
    </row>
    <row r="1800" spans="1:4" x14ac:dyDescent="0.3">
      <c r="A1800" s="9" t="s">
        <v>36</v>
      </c>
      <c r="B1800" s="9" t="s">
        <v>45</v>
      </c>
      <c r="C1800" s="9" t="s">
        <v>40</v>
      </c>
      <c r="D1800" s="9">
        <v>0</v>
      </c>
    </row>
    <row r="1801" spans="1:4" x14ac:dyDescent="0.3">
      <c r="A1801" s="9" t="s">
        <v>36</v>
      </c>
      <c r="B1801" s="9" t="s">
        <v>71</v>
      </c>
      <c r="C1801" s="9" t="s">
        <v>40</v>
      </c>
      <c r="D1801" s="9">
        <v>0</v>
      </c>
    </row>
    <row r="1802" spans="1:4" x14ac:dyDescent="0.3">
      <c r="A1802" s="9" t="s">
        <v>36</v>
      </c>
      <c r="B1802" s="9" t="s">
        <v>72</v>
      </c>
      <c r="C1802" s="9" t="s">
        <v>40</v>
      </c>
      <c r="D1802" s="9">
        <v>0</v>
      </c>
    </row>
    <row r="1803" spans="1:4" x14ac:dyDescent="0.3">
      <c r="A1803" s="9" t="s">
        <v>36</v>
      </c>
      <c r="B1803" s="9" t="s">
        <v>82</v>
      </c>
      <c r="C1803" s="9" t="s">
        <v>40</v>
      </c>
      <c r="D1803" s="9">
        <v>1</v>
      </c>
    </row>
    <row r="1804" spans="1:4" x14ac:dyDescent="0.3">
      <c r="A1804" s="9" t="s">
        <v>36</v>
      </c>
      <c r="B1804" s="9" t="s">
        <v>81</v>
      </c>
      <c r="C1804" s="9" t="s">
        <v>81</v>
      </c>
      <c r="D1804" s="9">
        <v>15</v>
      </c>
    </row>
    <row r="1805" spans="1:4" x14ac:dyDescent="0.3">
      <c r="A1805" s="9" t="s">
        <v>36</v>
      </c>
      <c r="B1805" s="9" t="s">
        <v>73</v>
      </c>
      <c r="C1805" s="9" t="s">
        <v>81</v>
      </c>
      <c r="D1805" s="9">
        <v>0</v>
      </c>
    </row>
    <row r="1806" spans="1:4" x14ac:dyDescent="0.3">
      <c r="A1806" s="9" t="s">
        <v>36</v>
      </c>
      <c r="B1806" s="9" t="s">
        <v>80</v>
      </c>
      <c r="C1806" s="9" t="s">
        <v>81</v>
      </c>
      <c r="D1806" s="9">
        <v>0</v>
      </c>
    </row>
    <row r="1807" spans="1:4" x14ac:dyDescent="0.3">
      <c r="A1807" s="9" t="s">
        <v>36</v>
      </c>
      <c r="B1807" s="9" t="s">
        <v>79</v>
      </c>
      <c r="C1807" s="9" t="s">
        <v>96</v>
      </c>
      <c r="D1807" s="9">
        <v>9</v>
      </c>
    </row>
    <row r="1808" spans="1:4" x14ac:dyDescent="0.3">
      <c r="A1808" s="9" t="s">
        <v>36</v>
      </c>
      <c r="B1808" s="9" t="s">
        <v>46</v>
      </c>
      <c r="C1808" s="9" t="s">
        <v>96</v>
      </c>
      <c r="D1808" s="9">
        <v>9</v>
      </c>
    </row>
    <row r="1809" spans="1:4" x14ac:dyDescent="0.3">
      <c r="A1809" s="9" t="s">
        <v>36</v>
      </c>
      <c r="B1809" s="9" t="s">
        <v>47</v>
      </c>
      <c r="C1809" s="9" t="s">
        <v>96</v>
      </c>
      <c r="D1809" s="9">
        <v>0</v>
      </c>
    </row>
    <row r="1810" spans="1:4" x14ac:dyDescent="0.3">
      <c r="A1810" s="9" t="s">
        <v>36</v>
      </c>
      <c r="B1810" s="9" t="s">
        <v>48</v>
      </c>
      <c r="C1810" s="9" t="s">
        <v>97</v>
      </c>
      <c r="D1810" s="9">
        <v>1</v>
      </c>
    </row>
    <row r="1811" spans="1:4" x14ac:dyDescent="0.3">
      <c r="A1811" s="9" t="s">
        <v>36</v>
      </c>
      <c r="B1811" s="9" t="s">
        <v>49</v>
      </c>
      <c r="C1811" s="9" t="s">
        <v>97</v>
      </c>
      <c r="D1811" s="9">
        <v>1</v>
      </c>
    </row>
    <row r="1812" spans="1:4" x14ac:dyDescent="0.3">
      <c r="A1812" s="9" t="s">
        <v>36</v>
      </c>
      <c r="B1812" s="9" t="s">
        <v>50</v>
      </c>
      <c r="C1812" s="9" t="s">
        <v>97</v>
      </c>
      <c r="D1812" s="9">
        <v>0</v>
      </c>
    </row>
    <row r="1813" spans="1:4" x14ac:dyDescent="0.3">
      <c r="A1813" s="9" t="s">
        <v>36</v>
      </c>
      <c r="B1813" s="9" t="s">
        <v>51</v>
      </c>
      <c r="C1813" s="9" t="s">
        <v>99</v>
      </c>
      <c r="D1813" s="9">
        <v>30</v>
      </c>
    </row>
    <row r="1814" spans="1:4" x14ac:dyDescent="0.3">
      <c r="A1814" s="9" t="s">
        <v>36</v>
      </c>
      <c r="B1814" s="9" t="s">
        <v>52</v>
      </c>
      <c r="C1814" s="9" t="s">
        <v>99</v>
      </c>
      <c r="D1814" s="9">
        <v>30</v>
      </c>
    </row>
    <row r="1815" spans="1:4" x14ac:dyDescent="0.3">
      <c r="A1815" s="9" t="s">
        <v>36</v>
      </c>
      <c r="B1815" s="9" t="s">
        <v>53</v>
      </c>
      <c r="C1815" s="9" t="s">
        <v>99</v>
      </c>
      <c r="D1815" s="9">
        <v>0</v>
      </c>
    </row>
    <row r="1816" spans="1:4" x14ac:dyDescent="0.3">
      <c r="A1816" s="9" t="s">
        <v>36</v>
      </c>
      <c r="B1816" s="9" t="s">
        <v>54</v>
      </c>
      <c r="C1816" s="9" t="s">
        <v>98</v>
      </c>
      <c r="D1816" s="9">
        <v>9</v>
      </c>
    </row>
    <row r="1817" spans="1:4" x14ac:dyDescent="0.3">
      <c r="A1817" s="9" t="s">
        <v>36</v>
      </c>
      <c r="B1817" s="9" t="s">
        <v>55</v>
      </c>
      <c r="C1817" s="9" t="s">
        <v>98</v>
      </c>
      <c r="D1817" s="9">
        <v>9</v>
      </c>
    </row>
    <row r="1818" spans="1:4" x14ac:dyDescent="0.3">
      <c r="A1818" s="9" t="s">
        <v>36</v>
      </c>
      <c r="B1818" s="9" t="s">
        <v>56</v>
      </c>
      <c r="C1818" s="9" t="s">
        <v>98</v>
      </c>
      <c r="D1818" s="9">
        <v>0</v>
      </c>
    </row>
    <row r="1819" spans="1:4" x14ac:dyDescent="0.3">
      <c r="A1819" s="9" t="s">
        <v>36</v>
      </c>
      <c r="B1819" s="9" t="s">
        <v>74</v>
      </c>
      <c r="C1819" s="9" t="s">
        <v>74</v>
      </c>
      <c r="D1819" s="9">
        <v>14</v>
      </c>
    </row>
    <row r="1820" spans="1:4" x14ac:dyDescent="0.3">
      <c r="A1820" s="9" t="s">
        <v>36</v>
      </c>
      <c r="B1820" s="9" t="s">
        <v>57</v>
      </c>
      <c r="C1820" s="9" t="s">
        <v>100</v>
      </c>
      <c r="D1820" s="9">
        <v>3</v>
      </c>
    </row>
    <row r="1821" spans="1:4" x14ac:dyDescent="0.3">
      <c r="A1821" s="9" t="s">
        <v>36</v>
      </c>
      <c r="B1821" s="9" t="s">
        <v>76</v>
      </c>
      <c r="C1821" s="9" t="s">
        <v>100</v>
      </c>
      <c r="D1821" s="9">
        <v>0</v>
      </c>
    </row>
    <row r="1822" spans="1:4" x14ac:dyDescent="0.3">
      <c r="A1822" s="9" t="s">
        <v>36</v>
      </c>
      <c r="B1822" s="9" t="s">
        <v>58</v>
      </c>
      <c r="C1822" s="9" t="s">
        <v>100</v>
      </c>
      <c r="D1822" s="9">
        <v>0</v>
      </c>
    </row>
    <row r="1823" spans="1:4" x14ac:dyDescent="0.3">
      <c r="A1823" s="9" t="s">
        <v>36</v>
      </c>
      <c r="B1823" s="9" t="s">
        <v>59</v>
      </c>
      <c r="C1823" s="9" t="s">
        <v>100</v>
      </c>
      <c r="D1823" s="9">
        <v>0</v>
      </c>
    </row>
    <row r="1824" spans="1:4" x14ac:dyDescent="0.3">
      <c r="A1824" s="9" t="s">
        <v>36</v>
      </c>
      <c r="B1824" s="9" t="s">
        <v>60</v>
      </c>
      <c r="C1824" s="9" t="s">
        <v>100</v>
      </c>
      <c r="D1824" s="9">
        <v>0</v>
      </c>
    </row>
    <row r="1825" spans="1:4" x14ac:dyDescent="0.3">
      <c r="A1825" s="9" t="s">
        <v>36</v>
      </c>
      <c r="B1825" s="9" t="s">
        <v>61</v>
      </c>
      <c r="C1825" s="9" t="s">
        <v>100</v>
      </c>
      <c r="D1825" s="9">
        <v>3</v>
      </c>
    </row>
    <row r="1826" spans="1:4" x14ac:dyDescent="0.3">
      <c r="A1826" s="9" t="s">
        <v>36</v>
      </c>
      <c r="B1826" s="9" t="s">
        <v>78</v>
      </c>
      <c r="C1826" s="9" t="s">
        <v>95</v>
      </c>
      <c r="D1826" s="9">
        <v>0</v>
      </c>
    </row>
    <row r="1827" spans="1:4" x14ac:dyDescent="0.3">
      <c r="A1827" s="9" t="s">
        <v>36</v>
      </c>
      <c r="B1827" s="9" t="s">
        <v>62</v>
      </c>
      <c r="C1827" s="9" t="s">
        <v>101</v>
      </c>
      <c r="D1827" s="9">
        <v>10</v>
      </c>
    </row>
    <row r="1828" spans="1:4" x14ac:dyDescent="0.3">
      <c r="A1828" s="9" t="s">
        <v>36</v>
      </c>
      <c r="B1828" s="9" t="s">
        <v>63</v>
      </c>
      <c r="C1828" s="9" t="s">
        <v>101</v>
      </c>
      <c r="D1828" s="9">
        <v>10</v>
      </c>
    </row>
    <row r="1829" spans="1:4" x14ac:dyDescent="0.3">
      <c r="A1829" s="9" t="s">
        <v>36</v>
      </c>
      <c r="B1829" s="9" t="s">
        <v>64</v>
      </c>
      <c r="C1829" s="9" t="s">
        <v>101</v>
      </c>
      <c r="D1829" s="9">
        <v>0</v>
      </c>
    </row>
    <row r="1830" spans="1:4" x14ac:dyDescent="0.3">
      <c r="A1830" s="9" t="s">
        <v>36</v>
      </c>
      <c r="B1830" s="9" t="s">
        <v>77</v>
      </c>
      <c r="C1830" s="9" t="s">
        <v>102</v>
      </c>
      <c r="D1830" s="9">
        <v>91</v>
      </c>
    </row>
    <row r="1831" spans="1:4" x14ac:dyDescent="0.3">
      <c r="A1831" s="9" t="s">
        <v>36</v>
      </c>
      <c r="B1831" s="9" t="s">
        <v>65</v>
      </c>
      <c r="C1831" s="9" t="s">
        <v>102</v>
      </c>
      <c r="D1831" s="9">
        <v>56</v>
      </c>
    </row>
    <row r="1832" spans="1:4" x14ac:dyDescent="0.3">
      <c r="A1832" s="9" t="s">
        <v>36</v>
      </c>
      <c r="B1832" s="9" t="s">
        <v>66</v>
      </c>
      <c r="C1832" s="9" t="s">
        <v>102</v>
      </c>
      <c r="D1832" s="9">
        <v>25</v>
      </c>
    </row>
    <row r="1833" spans="1:4" x14ac:dyDescent="0.3">
      <c r="A1833" s="9" t="s">
        <v>36</v>
      </c>
      <c r="B1833" s="9" t="s">
        <v>67</v>
      </c>
      <c r="C1833" s="9" t="s">
        <v>102</v>
      </c>
      <c r="D1833" s="9">
        <v>10</v>
      </c>
    </row>
    <row r="1834" spans="1:4" x14ac:dyDescent="0.3">
      <c r="A1834" s="9" t="s">
        <v>36</v>
      </c>
      <c r="B1834" s="9" t="s">
        <v>68</v>
      </c>
      <c r="C1834" s="9" t="s">
        <v>102</v>
      </c>
      <c r="D1834" s="9">
        <v>0</v>
      </c>
    </row>
    <row r="1835" spans="1:4" x14ac:dyDescent="0.3">
      <c r="A1835" s="9" t="s">
        <v>36</v>
      </c>
      <c r="B1835" s="9" t="s">
        <v>69</v>
      </c>
      <c r="C1835" s="9" t="s">
        <v>102</v>
      </c>
      <c r="D1835" s="9">
        <v>0</v>
      </c>
    </row>
    <row r="1836" spans="1:4" x14ac:dyDescent="0.3">
      <c r="A1836" s="9" t="s">
        <v>36</v>
      </c>
      <c r="B1836" s="9" t="s">
        <v>70</v>
      </c>
      <c r="C1836" s="9" t="s">
        <v>102</v>
      </c>
      <c r="D1836" s="9">
        <v>0</v>
      </c>
    </row>
    <row r="1837" spans="1:4" x14ac:dyDescent="0.3">
      <c r="A1837" s="9" t="s">
        <v>36</v>
      </c>
      <c r="B1837" s="9" t="s">
        <v>75</v>
      </c>
      <c r="C1837" s="9" t="s">
        <v>103</v>
      </c>
      <c r="D1837" s="9">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workbookViewId="0">
      <selection activeCell="E12" sqref="E12"/>
    </sheetView>
  </sheetViews>
  <sheetFormatPr defaultRowHeight="14.4" x14ac:dyDescent="0.3"/>
  <cols>
    <col min="1" max="1" width="54" bestFit="1" customWidth="1"/>
    <col min="2" max="2" width="14" bestFit="1" customWidth="1"/>
    <col min="3" max="3" width="17.5546875" customWidth="1"/>
  </cols>
  <sheetData>
    <row r="1" spans="1:3" x14ac:dyDescent="0.3">
      <c r="A1" s="49" t="s">
        <v>173</v>
      </c>
      <c r="B1" t="s">
        <v>174</v>
      </c>
    </row>
    <row r="3" spans="1:3" x14ac:dyDescent="0.3">
      <c r="A3" s="49" t="s">
        <v>89</v>
      </c>
      <c r="B3" t="s">
        <v>109</v>
      </c>
      <c r="C3" t="s">
        <v>108</v>
      </c>
    </row>
    <row r="4" spans="1:3" x14ac:dyDescent="0.3">
      <c r="A4" s="10" t="s">
        <v>83</v>
      </c>
      <c r="B4" s="50">
        <v>133676</v>
      </c>
      <c r="C4" s="51">
        <v>0.29168748704408831</v>
      </c>
    </row>
    <row r="5" spans="1:3" x14ac:dyDescent="0.3">
      <c r="A5" s="10" t="s">
        <v>39</v>
      </c>
      <c r="B5" s="50">
        <v>88605</v>
      </c>
      <c r="C5" s="51">
        <v>0.19334038862280023</v>
      </c>
    </row>
    <row r="6" spans="1:3" x14ac:dyDescent="0.3">
      <c r="A6" s="10" t="s">
        <v>51</v>
      </c>
      <c r="B6" s="50">
        <v>83891</v>
      </c>
      <c r="C6" s="51">
        <v>0.18305421298973346</v>
      </c>
    </row>
    <row r="7" spans="1:3" x14ac:dyDescent="0.3">
      <c r="A7" s="10" t="s">
        <v>77</v>
      </c>
      <c r="B7" s="50">
        <v>66232</v>
      </c>
      <c r="C7" s="51">
        <v>0.14452142225907461</v>
      </c>
    </row>
    <row r="8" spans="1:3" x14ac:dyDescent="0.3">
      <c r="A8" s="10" t="s">
        <v>79</v>
      </c>
      <c r="B8" s="50">
        <v>29670</v>
      </c>
      <c r="C8" s="51">
        <v>6.4741372726578442E-2</v>
      </c>
    </row>
    <row r="9" spans="1:3" x14ac:dyDescent="0.3">
      <c r="A9" s="10" t="s">
        <v>74</v>
      </c>
      <c r="B9" s="50">
        <v>15489</v>
      </c>
      <c r="C9" s="51">
        <v>3.3797745944117746E-2</v>
      </c>
    </row>
    <row r="10" spans="1:3" x14ac:dyDescent="0.3">
      <c r="A10" s="10" t="s">
        <v>54</v>
      </c>
      <c r="B10" s="50">
        <v>8823</v>
      </c>
      <c r="C10" s="51">
        <v>1.9252212051452697E-2</v>
      </c>
    </row>
    <row r="11" spans="1:3" x14ac:dyDescent="0.3">
      <c r="A11" s="10" t="s">
        <v>82</v>
      </c>
      <c r="B11" s="50">
        <v>8214</v>
      </c>
      <c r="C11" s="51">
        <v>1.7923344643616963E-2</v>
      </c>
    </row>
    <row r="12" spans="1:3" x14ac:dyDescent="0.3">
      <c r="A12" s="10" t="s">
        <v>38</v>
      </c>
      <c r="B12" s="50">
        <v>6156</v>
      </c>
      <c r="C12" s="51">
        <v>1.3432689265413444E-2</v>
      </c>
    </row>
    <row r="13" spans="1:3" x14ac:dyDescent="0.3">
      <c r="A13" s="10" t="s">
        <v>87</v>
      </c>
      <c r="B13" s="50">
        <v>4825</v>
      </c>
      <c r="C13" s="51">
        <v>1.0528382993115638E-2</v>
      </c>
    </row>
    <row r="14" spans="1:3" x14ac:dyDescent="0.3">
      <c r="A14" s="10" t="s">
        <v>62</v>
      </c>
      <c r="B14" s="50">
        <v>3678</v>
      </c>
      <c r="C14" s="51">
        <v>8.0255736059439003E-3</v>
      </c>
    </row>
    <row r="15" spans="1:3" x14ac:dyDescent="0.3">
      <c r="A15" s="10" t="s">
        <v>48</v>
      </c>
      <c r="B15" s="50">
        <v>2796</v>
      </c>
      <c r="C15" s="51">
        <v>6.1010070152852482E-3</v>
      </c>
    </row>
    <row r="16" spans="1:3" x14ac:dyDescent="0.3">
      <c r="A16" s="10" t="s">
        <v>71</v>
      </c>
      <c r="B16" s="50">
        <v>1858</v>
      </c>
      <c r="C16" s="51">
        <v>4.0542457204577938E-3</v>
      </c>
    </row>
    <row r="17" spans="1:3" x14ac:dyDescent="0.3">
      <c r="A17" s="10" t="s">
        <v>57</v>
      </c>
      <c r="B17" s="50">
        <v>1788</v>
      </c>
      <c r="C17" s="51">
        <v>3.9015023402467898E-3</v>
      </c>
    </row>
    <row r="18" spans="1:3" x14ac:dyDescent="0.3">
      <c r="A18" s="10" t="s">
        <v>81</v>
      </c>
      <c r="B18" s="50">
        <v>1211</v>
      </c>
      <c r="C18" s="51">
        <v>2.6424604776503703E-3</v>
      </c>
    </row>
    <row r="19" spans="1:3" x14ac:dyDescent="0.3">
      <c r="A19" s="10" t="s">
        <v>78</v>
      </c>
      <c r="B19" s="50">
        <v>632</v>
      </c>
      <c r="C19" s="51">
        <v>1.3790545184764939E-3</v>
      </c>
    </row>
    <row r="20" spans="1:3" x14ac:dyDescent="0.3">
      <c r="A20" s="10" t="s">
        <v>86</v>
      </c>
      <c r="B20" s="50">
        <v>309</v>
      </c>
      <c r="C20" s="51">
        <v>6.7425292121714659E-4</v>
      </c>
    </row>
    <row r="21" spans="1:3" x14ac:dyDescent="0.3">
      <c r="A21" s="10" t="s">
        <v>88</v>
      </c>
      <c r="B21" s="50">
        <v>230</v>
      </c>
      <c r="C21" s="51">
        <v>5.0187110640758476E-4</v>
      </c>
    </row>
    <row r="22" spans="1:3" x14ac:dyDescent="0.3">
      <c r="A22" s="10" t="s">
        <v>85</v>
      </c>
      <c r="B22" s="50">
        <v>113</v>
      </c>
      <c r="C22" s="51">
        <v>2.4657145662633517E-4</v>
      </c>
    </row>
    <row r="23" spans="1:3" x14ac:dyDescent="0.3">
      <c r="A23" s="10" t="s">
        <v>84</v>
      </c>
      <c r="B23" s="50">
        <v>41</v>
      </c>
      <c r="C23" s="51">
        <v>8.9463979837873809E-5</v>
      </c>
    </row>
    <row r="24" spans="1:3" x14ac:dyDescent="0.3">
      <c r="A24" s="10" t="s">
        <v>75</v>
      </c>
      <c r="B24" s="50">
        <v>31</v>
      </c>
      <c r="C24" s="51">
        <v>6.7643496950587522E-5</v>
      </c>
    </row>
    <row r="25" spans="1:3" x14ac:dyDescent="0.3">
      <c r="A25" s="10" t="s">
        <v>73</v>
      </c>
      <c r="B25" s="50">
        <v>11</v>
      </c>
      <c r="C25" s="51">
        <v>2.4002531176014924E-5</v>
      </c>
    </row>
    <row r="26" spans="1:3" x14ac:dyDescent="0.3">
      <c r="A26" s="10" t="s">
        <v>80</v>
      </c>
      <c r="B26" s="50">
        <v>4</v>
      </c>
      <c r="C26" s="51">
        <v>8.7281931549145178E-6</v>
      </c>
    </row>
    <row r="27" spans="1:3" x14ac:dyDescent="0.3">
      <c r="A27" s="10" t="s">
        <v>72</v>
      </c>
      <c r="B27" s="50">
        <v>2</v>
      </c>
      <c r="C27" s="51">
        <v>4.3640965774572589E-6</v>
      </c>
    </row>
    <row r="28" spans="1:3" x14ac:dyDescent="0.3">
      <c r="A28" s="10" t="s">
        <v>175</v>
      </c>
      <c r="B28" s="50">
        <v>458285</v>
      </c>
      <c r="C28" s="51">
        <v>1</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37"/>
  <sheetViews>
    <sheetView workbookViewId="0">
      <selection activeCell="C30" sqref="C30"/>
    </sheetView>
  </sheetViews>
  <sheetFormatPr defaultRowHeight="14.4" x14ac:dyDescent="0.3"/>
  <cols>
    <col min="1" max="1" width="37" bestFit="1" customWidth="1"/>
    <col min="2" max="2" width="54" bestFit="1" customWidth="1"/>
    <col min="3" max="3" width="21.33203125" bestFit="1" customWidth="1"/>
    <col min="4" max="4" width="10.109375" bestFit="1" customWidth="1"/>
    <col min="5" max="5" width="16.109375" bestFit="1" customWidth="1"/>
    <col min="6" max="6" width="19" bestFit="1" customWidth="1"/>
  </cols>
  <sheetData>
    <row r="1" spans="1:6" x14ac:dyDescent="0.3">
      <c r="A1" s="9" t="s">
        <v>0</v>
      </c>
      <c r="B1" s="9" t="s">
        <v>89</v>
      </c>
      <c r="C1" s="9" t="s">
        <v>91</v>
      </c>
      <c r="D1" s="9" t="s">
        <v>90</v>
      </c>
      <c r="E1" s="11" t="s">
        <v>104</v>
      </c>
      <c r="F1" s="11" t="s">
        <v>173</v>
      </c>
    </row>
    <row r="2" spans="1:6" x14ac:dyDescent="0.3">
      <c r="A2" s="9" t="s">
        <v>1</v>
      </c>
      <c r="B2" s="9" t="s">
        <v>88</v>
      </c>
      <c r="C2" s="9" t="s">
        <v>92</v>
      </c>
      <c r="D2" s="9">
        <v>5</v>
      </c>
      <c r="E2" s="11" t="s">
        <v>105</v>
      </c>
      <c r="F2" s="11" t="str">
        <f t="shared" ref="F2:F65" si="0">IF(E2="Standalone","Yes",IF(AND(E2="Total",OR(B2="Kidnapping &amp; Abduction (Total)",B2="Rape (Total)",B2="Attempt to Rape (Total)",B2="Assault to Outrage Modesty (Total)",B2="Insult to Modesty (Total)",B2="Immoral Traffic (Prevention) Act (Total)",B2="Women-Centric Cyber Crime (Total)",B2="POCSO (Protection of Children from Sexual Offences Act) (Total)")),"Yes","No"))</f>
        <v>Yes</v>
      </c>
    </row>
    <row r="3" spans="1:6" x14ac:dyDescent="0.3">
      <c r="A3" s="9" t="s">
        <v>1</v>
      </c>
      <c r="B3" s="9" t="s">
        <v>38</v>
      </c>
      <c r="C3" s="9" t="s">
        <v>93</v>
      </c>
      <c r="D3" s="9">
        <v>95</v>
      </c>
      <c r="E3" s="11" t="s">
        <v>105</v>
      </c>
      <c r="F3" s="11" t="str">
        <f t="shared" si="0"/>
        <v>Yes</v>
      </c>
    </row>
    <row r="4" spans="1:6" x14ac:dyDescent="0.3">
      <c r="A4" s="9" t="s">
        <v>1</v>
      </c>
      <c r="B4" s="9" t="s">
        <v>87</v>
      </c>
      <c r="C4" s="9" t="s">
        <v>94</v>
      </c>
      <c r="D4" s="9">
        <v>386</v>
      </c>
      <c r="E4" s="11" t="s">
        <v>105</v>
      </c>
      <c r="F4" s="11" t="str">
        <f t="shared" si="0"/>
        <v>Yes</v>
      </c>
    </row>
    <row r="5" spans="1:6" x14ac:dyDescent="0.3">
      <c r="A5" s="9" t="s">
        <v>1</v>
      </c>
      <c r="B5" s="9" t="s">
        <v>86</v>
      </c>
      <c r="C5" s="9" t="s">
        <v>86</v>
      </c>
      <c r="D5" s="9">
        <v>10</v>
      </c>
      <c r="E5" s="11" t="s">
        <v>105</v>
      </c>
      <c r="F5" s="11" t="str">
        <f t="shared" si="0"/>
        <v>Yes</v>
      </c>
    </row>
    <row r="6" spans="1:6" x14ac:dyDescent="0.3">
      <c r="A6" s="9" t="s">
        <v>1</v>
      </c>
      <c r="B6" s="9" t="s">
        <v>85</v>
      </c>
      <c r="C6" s="9" t="s">
        <v>85</v>
      </c>
      <c r="D6" s="9">
        <v>3</v>
      </c>
      <c r="E6" s="11" t="s">
        <v>105</v>
      </c>
      <c r="F6" s="11" t="str">
        <f t="shared" si="0"/>
        <v>Yes</v>
      </c>
    </row>
    <row r="7" spans="1:6" x14ac:dyDescent="0.3">
      <c r="A7" s="9" t="s">
        <v>1</v>
      </c>
      <c r="B7" s="9" t="s">
        <v>84</v>
      </c>
      <c r="C7" s="9" t="s">
        <v>85</v>
      </c>
      <c r="D7" s="9">
        <v>4</v>
      </c>
      <c r="E7" s="11" t="s">
        <v>105</v>
      </c>
      <c r="F7" s="11" t="str">
        <f t="shared" si="0"/>
        <v>Yes</v>
      </c>
    </row>
    <row r="8" spans="1:6" x14ac:dyDescent="0.3">
      <c r="A8" s="9" t="s">
        <v>1</v>
      </c>
      <c r="B8" s="9" t="s">
        <v>83</v>
      </c>
      <c r="C8" s="9" t="s">
        <v>95</v>
      </c>
      <c r="D8" s="9">
        <v>10594</v>
      </c>
      <c r="E8" s="11" t="s">
        <v>105</v>
      </c>
      <c r="F8" s="11" t="str">
        <f t="shared" si="0"/>
        <v>Yes</v>
      </c>
    </row>
    <row r="9" spans="1:6" x14ac:dyDescent="0.3">
      <c r="A9" s="9" t="s">
        <v>1</v>
      </c>
      <c r="B9" s="9" t="s">
        <v>39</v>
      </c>
      <c r="C9" s="9" t="s">
        <v>40</v>
      </c>
      <c r="D9" s="9">
        <v>524</v>
      </c>
      <c r="E9" s="11" t="s">
        <v>106</v>
      </c>
      <c r="F9" s="11" t="str">
        <f t="shared" si="0"/>
        <v>Yes</v>
      </c>
    </row>
    <row r="10" spans="1:6" x14ac:dyDescent="0.3">
      <c r="A10" s="9" t="s">
        <v>1</v>
      </c>
      <c r="B10" s="9" t="s">
        <v>40</v>
      </c>
      <c r="C10" s="9" t="s">
        <v>40</v>
      </c>
      <c r="D10" s="9">
        <v>334</v>
      </c>
      <c r="E10" s="11" t="s">
        <v>107</v>
      </c>
      <c r="F10" s="11" t="str">
        <f t="shared" si="0"/>
        <v>No</v>
      </c>
    </row>
    <row r="11" spans="1:6" x14ac:dyDescent="0.3">
      <c r="A11" s="9" t="s">
        <v>1</v>
      </c>
      <c r="B11" s="9" t="s">
        <v>41</v>
      </c>
      <c r="C11" s="9" t="s">
        <v>40</v>
      </c>
      <c r="D11" s="9">
        <v>1</v>
      </c>
      <c r="E11" s="11" t="s">
        <v>107</v>
      </c>
      <c r="F11" s="11" t="str">
        <f t="shared" si="0"/>
        <v>No</v>
      </c>
    </row>
    <row r="12" spans="1:6" x14ac:dyDescent="0.3">
      <c r="A12" s="9" t="s">
        <v>1</v>
      </c>
      <c r="B12" s="9" t="s">
        <v>42</v>
      </c>
      <c r="C12" s="9" t="s">
        <v>40</v>
      </c>
      <c r="D12" s="9">
        <v>5</v>
      </c>
      <c r="E12" s="11" t="s">
        <v>107</v>
      </c>
      <c r="F12" s="11" t="str">
        <f t="shared" si="0"/>
        <v>No</v>
      </c>
    </row>
    <row r="13" spans="1:6" x14ac:dyDescent="0.3">
      <c r="A13" s="9" t="s">
        <v>1</v>
      </c>
      <c r="B13" s="9" t="s">
        <v>43</v>
      </c>
      <c r="C13" s="9" t="s">
        <v>40</v>
      </c>
      <c r="D13" s="9">
        <v>132</v>
      </c>
      <c r="E13" s="11" t="s">
        <v>106</v>
      </c>
      <c r="F13" s="11" t="str">
        <f t="shared" si="0"/>
        <v>No</v>
      </c>
    </row>
    <row r="14" spans="1:6" x14ac:dyDescent="0.3">
      <c r="A14" s="9" t="s">
        <v>1</v>
      </c>
      <c r="B14" s="9" t="s">
        <v>44</v>
      </c>
      <c r="C14" s="9" t="s">
        <v>40</v>
      </c>
      <c r="D14" s="9">
        <v>58</v>
      </c>
      <c r="E14" s="11" t="s">
        <v>107</v>
      </c>
      <c r="F14" s="11" t="str">
        <f t="shared" si="0"/>
        <v>No</v>
      </c>
    </row>
    <row r="15" spans="1:6" x14ac:dyDescent="0.3">
      <c r="A15" s="9" t="s">
        <v>1</v>
      </c>
      <c r="B15" s="9" t="s">
        <v>45</v>
      </c>
      <c r="C15" s="9" t="s">
        <v>40</v>
      </c>
      <c r="D15" s="9">
        <v>74</v>
      </c>
      <c r="E15" s="11" t="s">
        <v>107</v>
      </c>
      <c r="F15" s="11" t="str">
        <f t="shared" si="0"/>
        <v>No</v>
      </c>
    </row>
    <row r="16" spans="1:6" x14ac:dyDescent="0.3">
      <c r="A16" s="9" t="s">
        <v>1</v>
      </c>
      <c r="B16" s="9" t="s">
        <v>71</v>
      </c>
      <c r="C16" s="9" t="s">
        <v>40</v>
      </c>
      <c r="D16" s="9">
        <v>26</v>
      </c>
      <c r="E16" s="11" t="s">
        <v>105</v>
      </c>
      <c r="F16" s="11" t="str">
        <f t="shared" si="0"/>
        <v>Yes</v>
      </c>
    </row>
    <row r="17" spans="1:6" x14ac:dyDescent="0.3">
      <c r="A17" s="9" t="s">
        <v>1</v>
      </c>
      <c r="B17" s="9" t="s">
        <v>72</v>
      </c>
      <c r="C17" s="9" t="s">
        <v>40</v>
      </c>
      <c r="D17" s="9">
        <v>0</v>
      </c>
      <c r="E17" s="11" t="s">
        <v>105</v>
      </c>
      <c r="F17" s="11" t="str">
        <f t="shared" si="0"/>
        <v>Yes</v>
      </c>
    </row>
    <row r="18" spans="1:6" x14ac:dyDescent="0.3">
      <c r="A18" s="9" t="s">
        <v>1</v>
      </c>
      <c r="B18" s="9" t="s">
        <v>82</v>
      </c>
      <c r="C18" s="9" t="s">
        <v>40</v>
      </c>
      <c r="D18" s="9">
        <v>26</v>
      </c>
      <c r="E18" s="11" t="s">
        <v>105</v>
      </c>
      <c r="F18" s="11" t="str">
        <f t="shared" si="0"/>
        <v>Yes</v>
      </c>
    </row>
    <row r="19" spans="1:6" x14ac:dyDescent="0.3">
      <c r="A19" s="9" t="s">
        <v>1</v>
      </c>
      <c r="B19" s="9" t="s">
        <v>81</v>
      </c>
      <c r="C19" s="9" t="s">
        <v>81</v>
      </c>
      <c r="D19" s="9">
        <v>79</v>
      </c>
      <c r="E19" s="11" t="s">
        <v>105</v>
      </c>
      <c r="F19" s="11" t="str">
        <f t="shared" si="0"/>
        <v>Yes</v>
      </c>
    </row>
    <row r="20" spans="1:6" x14ac:dyDescent="0.3">
      <c r="A20" s="9" t="s">
        <v>1</v>
      </c>
      <c r="B20" s="9" t="s">
        <v>73</v>
      </c>
      <c r="C20" s="9" t="s">
        <v>81</v>
      </c>
      <c r="D20" s="9">
        <v>0</v>
      </c>
      <c r="E20" s="11" t="s">
        <v>105</v>
      </c>
      <c r="F20" s="11" t="str">
        <f t="shared" si="0"/>
        <v>Yes</v>
      </c>
    </row>
    <row r="21" spans="1:6" x14ac:dyDescent="0.3">
      <c r="A21" s="9" t="s">
        <v>1</v>
      </c>
      <c r="B21" s="9" t="s">
        <v>80</v>
      </c>
      <c r="C21" s="9" t="s">
        <v>81</v>
      </c>
      <c r="D21" s="9">
        <v>2</v>
      </c>
      <c r="E21" s="11" t="s">
        <v>105</v>
      </c>
      <c r="F21" s="11" t="str">
        <f t="shared" si="0"/>
        <v>Yes</v>
      </c>
    </row>
    <row r="22" spans="1:6" x14ac:dyDescent="0.3">
      <c r="A22" s="9" t="s">
        <v>1</v>
      </c>
      <c r="B22" s="9" t="s">
        <v>79</v>
      </c>
      <c r="C22" s="9" t="s">
        <v>96</v>
      </c>
      <c r="D22" s="9">
        <v>438</v>
      </c>
      <c r="E22" s="11" t="s">
        <v>106</v>
      </c>
      <c r="F22" s="11" t="str">
        <f t="shared" si="0"/>
        <v>Yes</v>
      </c>
    </row>
    <row r="23" spans="1:6" x14ac:dyDescent="0.3">
      <c r="A23" s="9" t="s">
        <v>1</v>
      </c>
      <c r="B23" s="9" t="s">
        <v>46</v>
      </c>
      <c r="C23" s="9" t="s">
        <v>96</v>
      </c>
      <c r="D23" s="9">
        <v>438</v>
      </c>
      <c r="E23" s="11" t="s">
        <v>107</v>
      </c>
      <c r="F23" s="11" t="str">
        <f t="shared" si="0"/>
        <v>No</v>
      </c>
    </row>
    <row r="24" spans="1:6" x14ac:dyDescent="0.3">
      <c r="A24" s="9" t="s">
        <v>1</v>
      </c>
      <c r="B24" s="9" t="s">
        <v>47</v>
      </c>
      <c r="C24" s="9" t="s">
        <v>96</v>
      </c>
      <c r="D24" s="9">
        <v>0</v>
      </c>
      <c r="E24" s="11" t="s">
        <v>107</v>
      </c>
      <c r="F24" s="11" t="str">
        <f t="shared" si="0"/>
        <v>No</v>
      </c>
    </row>
    <row r="25" spans="1:6" x14ac:dyDescent="0.3">
      <c r="A25" s="9" t="s">
        <v>1</v>
      </c>
      <c r="B25" s="9" t="s">
        <v>48</v>
      </c>
      <c r="C25" s="9" t="s">
        <v>97</v>
      </c>
      <c r="D25" s="9">
        <v>112</v>
      </c>
      <c r="E25" s="11" t="s">
        <v>106</v>
      </c>
      <c r="F25" s="11" t="str">
        <f t="shared" si="0"/>
        <v>Yes</v>
      </c>
    </row>
    <row r="26" spans="1:6" x14ac:dyDescent="0.3">
      <c r="A26" s="9" t="s">
        <v>1</v>
      </c>
      <c r="B26" s="9" t="s">
        <v>49</v>
      </c>
      <c r="C26" s="9" t="s">
        <v>97</v>
      </c>
      <c r="D26" s="9">
        <v>96</v>
      </c>
      <c r="E26" s="11" t="s">
        <v>107</v>
      </c>
      <c r="F26" s="11" t="str">
        <f t="shared" si="0"/>
        <v>No</v>
      </c>
    </row>
    <row r="27" spans="1:6" x14ac:dyDescent="0.3">
      <c r="A27" s="9" t="s">
        <v>1</v>
      </c>
      <c r="B27" s="9" t="s">
        <v>50</v>
      </c>
      <c r="C27" s="9" t="s">
        <v>97</v>
      </c>
      <c r="D27" s="9">
        <v>16</v>
      </c>
      <c r="E27" s="11" t="s">
        <v>107</v>
      </c>
      <c r="F27" s="11" t="str">
        <f t="shared" si="0"/>
        <v>No</v>
      </c>
    </row>
    <row r="28" spans="1:6" x14ac:dyDescent="0.3">
      <c r="A28" s="9" t="s">
        <v>1</v>
      </c>
      <c r="B28" s="9" t="s">
        <v>51</v>
      </c>
      <c r="C28" s="9" t="s">
        <v>99</v>
      </c>
      <c r="D28" s="9">
        <v>4930</v>
      </c>
      <c r="E28" s="11" t="s">
        <v>106</v>
      </c>
      <c r="F28" s="11" t="str">
        <f t="shared" si="0"/>
        <v>Yes</v>
      </c>
    </row>
    <row r="29" spans="1:6" x14ac:dyDescent="0.3">
      <c r="A29" s="9" t="s">
        <v>1</v>
      </c>
      <c r="B29" s="9" t="s">
        <v>52</v>
      </c>
      <c r="C29" s="9" t="s">
        <v>99</v>
      </c>
      <c r="D29" s="9">
        <v>4930</v>
      </c>
      <c r="E29" s="11" t="s">
        <v>107</v>
      </c>
      <c r="F29" s="11" t="str">
        <f t="shared" si="0"/>
        <v>No</v>
      </c>
    </row>
    <row r="30" spans="1:6" x14ac:dyDescent="0.3">
      <c r="A30" s="9" t="s">
        <v>1</v>
      </c>
      <c r="B30" s="9" t="s">
        <v>53</v>
      </c>
      <c r="C30" s="9" t="s">
        <v>99</v>
      </c>
      <c r="D30" s="9">
        <v>0</v>
      </c>
      <c r="E30" s="11" t="s">
        <v>107</v>
      </c>
      <c r="F30" s="11" t="str">
        <f t="shared" si="0"/>
        <v>No</v>
      </c>
    </row>
    <row r="31" spans="1:6" x14ac:dyDescent="0.3">
      <c r="A31" s="9" t="s">
        <v>1</v>
      </c>
      <c r="B31" s="9" t="s">
        <v>54</v>
      </c>
      <c r="C31" s="9" t="s">
        <v>98</v>
      </c>
      <c r="D31" s="9">
        <v>2826</v>
      </c>
      <c r="E31" s="11" t="s">
        <v>106</v>
      </c>
      <c r="F31" s="11" t="str">
        <f t="shared" si="0"/>
        <v>Yes</v>
      </c>
    </row>
    <row r="32" spans="1:6" x14ac:dyDescent="0.3">
      <c r="A32" s="9" t="s">
        <v>1</v>
      </c>
      <c r="B32" s="9" t="s">
        <v>55</v>
      </c>
      <c r="C32" s="9" t="s">
        <v>98</v>
      </c>
      <c r="D32" s="9">
        <v>2826</v>
      </c>
      <c r="E32" s="11" t="s">
        <v>107</v>
      </c>
      <c r="F32" s="11" t="str">
        <f t="shared" si="0"/>
        <v>No</v>
      </c>
    </row>
    <row r="33" spans="1:6" x14ac:dyDescent="0.3">
      <c r="A33" s="9" t="s">
        <v>1</v>
      </c>
      <c r="B33" s="9" t="s">
        <v>56</v>
      </c>
      <c r="C33" s="9" t="s">
        <v>98</v>
      </c>
      <c r="D33" s="9">
        <v>0</v>
      </c>
      <c r="E33" s="11" t="s">
        <v>107</v>
      </c>
      <c r="F33" s="11" t="str">
        <f t="shared" si="0"/>
        <v>No</v>
      </c>
    </row>
    <row r="34" spans="1:6" x14ac:dyDescent="0.3">
      <c r="A34" s="9" t="s">
        <v>1</v>
      </c>
      <c r="B34" s="9" t="s">
        <v>74</v>
      </c>
      <c r="C34" s="9" t="s">
        <v>74</v>
      </c>
      <c r="D34" s="9">
        <v>353</v>
      </c>
      <c r="E34" s="11" t="s">
        <v>105</v>
      </c>
      <c r="F34" s="11" t="str">
        <f t="shared" si="0"/>
        <v>Yes</v>
      </c>
    </row>
    <row r="35" spans="1:6" x14ac:dyDescent="0.3">
      <c r="A35" s="9" t="s">
        <v>1</v>
      </c>
      <c r="B35" s="9" t="s">
        <v>57</v>
      </c>
      <c r="C35" s="9" t="s">
        <v>100</v>
      </c>
      <c r="D35" s="9">
        <v>68</v>
      </c>
      <c r="E35" s="11" t="s">
        <v>106</v>
      </c>
      <c r="F35" s="11" t="str">
        <f t="shared" si="0"/>
        <v>Yes</v>
      </c>
    </row>
    <row r="36" spans="1:6" x14ac:dyDescent="0.3">
      <c r="A36" s="9" t="s">
        <v>1</v>
      </c>
      <c r="B36" s="9" t="s">
        <v>76</v>
      </c>
      <c r="C36" s="9" t="s">
        <v>100</v>
      </c>
      <c r="D36" s="9">
        <v>11</v>
      </c>
      <c r="E36" s="11" t="s">
        <v>107</v>
      </c>
      <c r="F36" s="11" t="str">
        <f t="shared" si="0"/>
        <v>No</v>
      </c>
    </row>
    <row r="37" spans="1:6" x14ac:dyDescent="0.3">
      <c r="A37" s="9" t="s">
        <v>1</v>
      </c>
      <c r="B37" s="9" t="s">
        <v>58</v>
      </c>
      <c r="C37" s="9" t="s">
        <v>100</v>
      </c>
      <c r="D37" s="9">
        <v>1</v>
      </c>
      <c r="E37" s="11" t="s">
        <v>107</v>
      </c>
      <c r="F37" s="11" t="str">
        <f t="shared" si="0"/>
        <v>No</v>
      </c>
    </row>
    <row r="38" spans="1:6" x14ac:dyDescent="0.3">
      <c r="A38" s="9" t="s">
        <v>1</v>
      </c>
      <c r="B38" s="9" t="s">
        <v>59</v>
      </c>
      <c r="C38" s="9" t="s">
        <v>100</v>
      </c>
      <c r="D38" s="9">
        <v>11</v>
      </c>
      <c r="E38" s="11" t="s">
        <v>107</v>
      </c>
      <c r="F38" s="11" t="str">
        <f t="shared" si="0"/>
        <v>No</v>
      </c>
    </row>
    <row r="39" spans="1:6" x14ac:dyDescent="0.3">
      <c r="A39" s="9" t="s">
        <v>1</v>
      </c>
      <c r="B39" s="9" t="s">
        <v>60</v>
      </c>
      <c r="C39" s="9" t="s">
        <v>100</v>
      </c>
      <c r="D39" s="9">
        <v>0</v>
      </c>
      <c r="E39" s="11" t="s">
        <v>107</v>
      </c>
      <c r="F39" s="11" t="str">
        <f t="shared" si="0"/>
        <v>No</v>
      </c>
    </row>
    <row r="40" spans="1:6" x14ac:dyDescent="0.3">
      <c r="A40" s="9" t="s">
        <v>1</v>
      </c>
      <c r="B40" s="9" t="s">
        <v>61</v>
      </c>
      <c r="C40" s="9" t="s">
        <v>100</v>
      </c>
      <c r="D40" s="9">
        <v>45</v>
      </c>
      <c r="E40" s="11" t="s">
        <v>107</v>
      </c>
      <c r="F40" s="11" t="str">
        <f t="shared" si="0"/>
        <v>No</v>
      </c>
    </row>
    <row r="41" spans="1:6" x14ac:dyDescent="0.3">
      <c r="A41" s="9" t="s">
        <v>1</v>
      </c>
      <c r="B41" s="9" t="s">
        <v>78</v>
      </c>
      <c r="C41" s="9" t="s">
        <v>95</v>
      </c>
      <c r="D41" s="9">
        <v>0</v>
      </c>
      <c r="E41" s="11" t="s">
        <v>105</v>
      </c>
      <c r="F41" s="11" t="str">
        <f t="shared" si="0"/>
        <v>Yes</v>
      </c>
    </row>
    <row r="42" spans="1:6" x14ac:dyDescent="0.3">
      <c r="A42" s="9" t="s">
        <v>1</v>
      </c>
      <c r="B42" s="9" t="s">
        <v>62</v>
      </c>
      <c r="C42" s="9" t="s">
        <v>101</v>
      </c>
      <c r="D42" s="9">
        <v>79</v>
      </c>
      <c r="E42" s="11" t="s">
        <v>106</v>
      </c>
      <c r="F42" s="11" t="str">
        <f t="shared" si="0"/>
        <v>Yes</v>
      </c>
    </row>
    <row r="43" spans="1:6" x14ac:dyDescent="0.3">
      <c r="A43" s="9" t="s">
        <v>1</v>
      </c>
      <c r="B43" s="9" t="s">
        <v>63</v>
      </c>
      <c r="C43" s="9" t="s">
        <v>101</v>
      </c>
      <c r="D43" s="9">
        <v>68</v>
      </c>
      <c r="E43" s="11" t="s">
        <v>107</v>
      </c>
      <c r="F43" s="11" t="str">
        <f t="shared" si="0"/>
        <v>No</v>
      </c>
    </row>
    <row r="44" spans="1:6" x14ac:dyDescent="0.3">
      <c r="A44" s="9" t="s">
        <v>1</v>
      </c>
      <c r="B44" s="9" t="s">
        <v>64</v>
      </c>
      <c r="C44" s="9" t="s">
        <v>101</v>
      </c>
      <c r="D44" s="9">
        <v>11</v>
      </c>
      <c r="E44" s="11" t="s">
        <v>107</v>
      </c>
      <c r="F44" s="11" t="str">
        <f t="shared" si="0"/>
        <v>No</v>
      </c>
    </row>
    <row r="45" spans="1:6" x14ac:dyDescent="0.3">
      <c r="A45" s="9" t="s">
        <v>1</v>
      </c>
      <c r="B45" s="9" t="s">
        <v>77</v>
      </c>
      <c r="C45" s="9" t="s">
        <v>102</v>
      </c>
      <c r="D45" s="9">
        <v>1907</v>
      </c>
      <c r="E45" s="11" t="s">
        <v>106</v>
      </c>
      <c r="F45" s="11" t="str">
        <f t="shared" si="0"/>
        <v>Yes</v>
      </c>
    </row>
    <row r="46" spans="1:6" x14ac:dyDescent="0.3">
      <c r="A46" s="9" t="s">
        <v>1</v>
      </c>
      <c r="B46" s="9" t="s">
        <v>65</v>
      </c>
      <c r="C46" s="9" t="s">
        <v>102</v>
      </c>
      <c r="D46" s="9">
        <v>855</v>
      </c>
      <c r="E46" s="11" t="s">
        <v>107</v>
      </c>
      <c r="F46" s="11" t="str">
        <f t="shared" si="0"/>
        <v>No</v>
      </c>
    </row>
    <row r="47" spans="1:6" x14ac:dyDescent="0.3">
      <c r="A47" s="9" t="s">
        <v>1</v>
      </c>
      <c r="B47" s="9" t="s">
        <v>66</v>
      </c>
      <c r="C47" s="9" t="s">
        <v>102</v>
      </c>
      <c r="D47" s="9">
        <v>552</v>
      </c>
      <c r="E47" s="11" t="s">
        <v>107</v>
      </c>
      <c r="F47" s="11" t="str">
        <f t="shared" si="0"/>
        <v>No</v>
      </c>
    </row>
    <row r="48" spans="1:6" x14ac:dyDescent="0.3">
      <c r="A48" s="9" t="s">
        <v>1</v>
      </c>
      <c r="B48" s="9" t="s">
        <v>67</v>
      </c>
      <c r="C48" s="9" t="s">
        <v>102</v>
      </c>
      <c r="D48" s="9">
        <v>488</v>
      </c>
      <c r="E48" s="11" t="s">
        <v>107</v>
      </c>
      <c r="F48" s="11" t="str">
        <f t="shared" si="0"/>
        <v>No</v>
      </c>
    </row>
    <row r="49" spans="1:6" x14ac:dyDescent="0.3">
      <c r="A49" s="9" t="s">
        <v>1</v>
      </c>
      <c r="B49" s="9" t="s">
        <v>68</v>
      </c>
      <c r="C49" s="9" t="s">
        <v>102</v>
      </c>
      <c r="D49" s="9">
        <v>9</v>
      </c>
      <c r="E49" s="11" t="s">
        <v>107</v>
      </c>
      <c r="F49" s="11" t="str">
        <f t="shared" si="0"/>
        <v>No</v>
      </c>
    </row>
    <row r="50" spans="1:6" x14ac:dyDescent="0.3">
      <c r="A50" s="9" t="s">
        <v>1</v>
      </c>
      <c r="B50" s="9" t="s">
        <v>69</v>
      </c>
      <c r="C50" s="9" t="s">
        <v>102</v>
      </c>
      <c r="D50" s="9">
        <v>3</v>
      </c>
      <c r="E50" s="11" t="s">
        <v>107</v>
      </c>
      <c r="F50" s="11" t="str">
        <f t="shared" si="0"/>
        <v>No</v>
      </c>
    </row>
    <row r="51" spans="1:6" x14ac:dyDescent="0.3">
      <c r="A51" s="9" t="s">
        <v>1</v>
      </c>
      <c r="B51" s="9" t="s">
        <v>70</v>
      </c>
      <c r="C51" s="9" t="s">
        <v>102</v>
      </c>
      <c r="D51" s="9">
        <v>0</v>
      </c>
      <c r="E51" s="11" t="s">
        <v>107</v>
      </c>
      <c r="F51" s="11" t="str">
        <f t="shared" si="0"/>
        <v>No</v>
      </c>
    </row>
    <row r="52" spans="1:6" x14ac:dyDescent="0.3">
      <c r="A52" s="9" t="s">
        <v>1</v>
      </c>
      <c r="B52" s="9" t="s">
        <v>75</v>
      </c>
      <c r="C52" s="9" t="s">
        <v>103</v>
      </c>
      <c r="D52" s="9">
        <v>3</v>
      </c>
      <c r="E52" s="11" t="s">
        <v>105</v>
      </c>
      <c r="F52" s="11" t="str">
        <f t="shared" si="0"/>
        <v>Yes</v>
      </c>
    </row>
    <row r="53" spans="1:6" x14ac:dyDescent="0.3">
      <c r="A53" s="9" t="s">
        <v>2</v>
      </c>
      <c r="B53" s="9" t="s">
        <v>88</v>
      </c>
      <c r="C53" s="9" t="s">
        <v>92</v>
      </c>
      <c r="D53" s="9">
        <v>0</v>
      </c>
      <c r="E53" s="11" t="s">
        <v>105</v>
      </c>
      <c r="F53" s="11" t="str">
        <f t="shared" si="0"/>
        <v>Yes</v>
      </c>
    </row>
    <row r="54" spans="1:6" x14ac:dyDescent="0.3">
      <c r="A54" s="9" t="s">
        <v>2</v>
      </c>
      <c r="B54" s="9" t="s">
        <v>38</v>
      </c>
      <c r="C54" s="9" t="s">
        <v>93</v>
      </c>
      <c r="D54" s="9">
        <v>1</v>
      </c>
      <c r="E54" s="11" t="s">
        <v>105</v>
      </c>
      <c r="F54" s="11" t="str">
        <f t="shared" si="0"/>
        <v>Yes</v>
      </c>
    </row>
    <row r="55" spans="1:6" x14ac:dyDescent="0.3">
      <c r="A55" s="9" t="s">
        <v>2</v>
      </c>
      <c r="B55" s="9" t="s">
        <v>87</v>
      </c>
      <c r="C55" s="9" t="s">
        <v>94</v>
      </c>
      <c r="D55" s="9">
        <v>3</v>
      </c>
      <c r="E55" s="11" t="s">
        <v>105</v>
      </c>
      <c r="F55" s="11" t="str">
        <f t="shared" si="0"/>
        <v>Yes</v>
      </c>
    </row>
    <row r="56" spans="1:6" x14ac:dyDescent="0.3">
      <c r="A56" s="9" t="s">
        <v>2</v>
      </c>
      <c r="B56" s="9" t="s">
        <v>86</v>
      </c>
      <c r="C56" s="9" t="s">
        <v>86</v>
      </c>
      <c r="D56" s="9">
        <v>0</v>
      </c>
      <c r="E56" s="11" t="s">
        <v>105</v>
      </c>
      <c r="F56" s="11" t="str">
        <f t="shared" si="0"/>
        <v>Yes</v>
      </c>
    </row>
    <row r="57" spans="1:6" x14ac:dyDescent="0.3">
      <c r="A57" s="9" t="s">
        <v>2</v>
      </c>
      <c r="B57" s="9" t="s">
        <v>85</v>
      </c>
      <c r="C57" s="9" t="s">
        <v>85</v>
      </c>
      <c r="D57" s="9">
        <v>0</v>
      </c>
      <c r="E57" s="11" t="s">
        <v>105</v>
      </c>
      <c r="F57" s="11" t="str">
        <f t="shared" si="0"/>
        <v>Yes</v>
      </c>
    </row>
    <row r="58" spans="1:6" x14ac:dyDescent="0.3">
      <c r="A58" s="9" t="s">
        <v>2</v>
      </c>
      <c r="B58" s="9" t="s">
        <v>84</v>
      </c>
      <c r="C58" s="9" t="s">
        <v>85</v>
      </c>
      <c r="D58" s="9">
        <v>0</v>
      </c>
      <c r="E58" s="11" t="s">
        <v>105</v>
      </c>
      <c r="F58" s="11" t="str">
        <f t="shared" si="0"/>
        <v>Yes</v>
      </c>
    </row>
    <row r="59" spans="1:6" x14ac:dyDescent="0.3">
      <c r="A59" s="9" t="s">
        <v>2</v>
      </c>
      <c r="B59" s="9" t="s">
        <v>83</v>
      </c>
      <c r="C59" s="9" t="s">
        <v>95</v>
      </c>
      <c r="D59" s="9">
        <v>58</v>
      </c>
      <c r="E59" s="11" t="s">
        <v>105</v>
      </c>
      <c r="F59" s="11" t="str">
        <f t="shared" si="0"/>
        <v>Yes</v>
      </c>
    </row>
    <row r="60" spans="1:6" x14ac:dyDescent="0.3">
      <c r="A60" s="9" t="s">
        <v>2</v>
      </c>
      <c r="B60" s="9" t="s">
        <v>39</v>
      </c>
      <c r="C60" s="9" t="s">
        <v>40</v>
      </c>
      <c r="D60" s="9">
        <v>38</v>
      </c>
      <c r="E60" s="11" t="s">
        <v>106</v>
      </c>
      <c r="F60" s="11" t="str">
        <f t="shared" si="0"/>
        <v>Yes</v>
      </c>
    </row>
    <row r="61" spans="1:6" x14ac:dyDescent="0.3">
      <c r="A61" s="9" t="s">
        <v>2</v>
      </c>
      <c r="B61" s="9" t="s">
        <v>40</v>
      </c>
      <c r="C61" s="9" t="s">
        <v>40</v>
      </c>
      <c r="D61" s="9">
        <v>28</v>
      </c>
      <c r="E61" s="11" t="s">
        <v>107</v>
      </c>
      <c r="F61" s="11" t="str">
        <f t="shared" si="0"/>
        <v>No</v>
      </c>
    </row>
    <row r="62" spans="1:6" x14ac:dyDescent="0.3">
      <c r="A62" s="9" t="s">
        <v>2</v>
      </c>
      <c r="B62" s="9" t="s">
        <v>41</v>
      </c>
      <c r="C62" s="9" t="s">
        <v>40</v>
      </c>
      <c r="D62" s="9">
        <v>0</v>
      </c>
      <c r="E62" s="11" t="s">
        <v>107</v>
      </c>
      <c r="F62" s="11" t="str">
        <f t="shared" si="0"/>
        <v>No</v>
      </c>
    </row>
    <row r="63" spans="1:6" x14ac:dyDescent="0.3">
      <c r="A63" s="9" t="s">
        <v>2</v>
      </c>
      <c r="B63" s="9" t="s">
        <v>42</v>
      </c>
      <c r="C63" s="9" t="s">
        <v>40</v>
      </c>
      <c r="D63" s="9">
        <v>1</v>
      </c>
      <c r="E63" s="11" t="s">
        <v>107</v>
      </c>
      <c r="F63" s="11" t="str">
        <f t="shared" si="0"/>
        <v>No</v>
      </c>
    </row>
    <row r="64" spans="1:6" x14ac:dyDescent="0.3">
      <c r="A64" s="9" t="s">
        <v>2</v>
      </c>
      <c r="B64" s="9" t="s">
        <v>43</v>
      </c>
      <c r="C64" s="9" t="s">
        <v>40</v>
      </c>
      <c r="D64" s="9">
        <v>3</v>
      </c>
      <c r="E64" s="11" t="s">
        <v>106</v>
      </c>
      <c r="F64" s="11" t="str">
        <f t="shared" si="0"/>
        <v>No</v>
      </c>
    </row>
    <row r="65" spans="1:6" x14ac:dyDescent="0.3">
      <c r="A65" s="9" t="s">
        <v>2</v>
      </c>
      <c r="B65" s="9" t="s">
        <v>44</v>
      </c>
      <c r="C65" s="9" t="s">
        <v>40</v>
      </c>
      <c r="D65" s="9">
        <v>2</v>
      </c>
      <c r="E65" s="11" t="s">
        <v>107</v>
      </c>
      <c r="F65" s="11" t="str">
        <f t="shared" si="0"/>
        <v>No</v>
      </c>
    </row>
    <row r="66" spans="1:6" x14ac:dyDescent="0.3">
      <c r="A66" s="9" t="s">
        <v>2</v>
      </c>
      <c r="B66" s="9" t="s">
        <v>45</v>
      </c>
      <c r="C66" s="9" t="s">
        <v>40</v>
      </c>
      <c r="D66" s="9">
        <v>1</v>
      </c>
      <c r="E66" s="11" t="s">
        <v>107</v>
      </c>
      <c r="F66" s="11" t="str">
        <f t="shared" ref="F66:F129" si="1">IF(E66="Standalone","Yes",IF(AND(E66="Total",OR(B66="Kidnapping &amp; Abduction (Total)",B66="Rape (Total)",B66="Attempt to Rape (Total)",B66="Assault to Outrage Modesty (Total)",B66="Insult to Modesty (Total)",B66="Immoral Traffic (Prevention) Act (Total)",B66="Women-Centric Cyber Crime (Total)",B66="POCSO (Protection of Children from Sexual Offences Act) (Total)")),"Yes","No"))</f>
        <v>No</v>
      </c>
    </row>
    <row r="67" spans="1:6" x14ac:dyDescent="0.3">
      <c r="A67" s="9" t="s">
        <v>2</v>
      </c>
      <c r="B67" s="9" t="s">
        <v>71</v>
      </c>
      <c r="C67" s="9" t="s">
        <v>40</v>
      </c>
      <c r="D67" s="9">
        <v>1</v>
      </c>
      <c r="E67" s="11" t="s">
        <v>105</v>
      </c>
      <c r="F67" s="11" t="str">
        <f t="shared" si="1"/>
        <v>Yes</v>
      </c>
    </row>
    <row r="68" spans="1:6" x14ac:dyDescent="0.3">
      <c r="A68" s="9" t="s">
        <v>2</v>
      </c>
      <c r="B68" s="9" t="s">
        <v>72</v>
      </c>
      <c r="C68" s="9" t="s">
        <v>40</v>
      </c>
      <c r="D68" s="9">
        <v>0</v>
      </c>
      <c r="E68" s="11" t="s">
        <v>105</v>
      </c>
      <c r="F68" s="11" t="str">
        <f t="shared" si="1"/>
        <v>Yes</v>
      </c>
    </row>
    <row r="69" spans="1:6" x14ac:dyDescent="0.3">
      <c r="A69" s="9" t="s">
        <v>2</v>
      </c>
      <c r="B69" s="9" t="s">
        <v>82</v>
      </c>
      <c r="C69" s="9" t="s">
        <v>40</v>
      </c>
      <c r="D69" s="9">
        <v>5</v>
      </c>
      <c r="E69" s="11" t="s">
        <v>105</v>
      </c>
      <c r="F69" s="11" t="str">
        <f t="shared" si="1"/>
        <v>Yes</v>
      </c>
    </row>
    <row r="70" spans="1:6" x14ac:dyDescent="0.3">
      <c r="A70" s="9" t="s">
        <v>2</v>
      </c>
      <c r="B70" s="9" t="s">
        <v>81</v>
      </c>
      <c r="C70" s="9" t="s">
        <v>81</v>
      </c>
      <c r="D70" s="9">
        <v>5</v>
      </c>
      <c r="E70" s="11" t="s">
        <v>105</v>
      </c>
      <c r="F70" s="11" t="str">
        <f t="shared" si="1"/>
        <v>Yes</v>
      </c>
    </row>
    <row r="71" spans="1:6" x14ac:dyDescent="0.3">
      <c r="A71" s="9" t="s">
        <v>2</v>
      </c>
      <c r="B71" s="9" t="s">
        <v>73</v>
      </c>
      <c r="C71" s="9" t="s">
        <v>81</v>
      </c>
      <c r="D71" s="9">
        <v>0</v>
      </c>
      <c r="E71" s="11" t="s">
        <v>105</v>
      </c>
      <c r="F71" s="11" t="str">
        <f t="shared" si="1"/>
        <v>Yes</v>
      </c>
    </row>
    <row r="72" spans="1:6" x14ac:dyDescent="0.3">
      <c r="A72" s="9" t="s">
        <v>2</v>
      </c>
      <c r="B72" s="9" t="s">
        <v>80</v>
      </c>
      <c r="C72" s="9" t="s">
        <v>81</v>
      </c>
      <c r="D72" s="9">
        <v>0</v>
      </c>
      <c r="E72" s="11" t="s">
        <v>105</v>
      </c>
      <c r="F72" s="11" t="str">
        <f t="shared" si="1"/>
        <v>Yes</v>
      </c>
    </row>
    <row r="73" spans="1:6" x14ac:dyDescent="0.3">
      <c r="A73" s="9" t="s">
        <v>2</v>
      </c>
      <c r="B73" s="9" t="s">
        <v>79</v>
      </c>
      <c r="C73" s="9" t="s">
        <v>96</v>
      </c>
      <c r="D73" s="9">
        <v>71</v>
      </c>
      <c r="E73" s="11" t="s">
        <v>106</v>
      </c>
      <c r="F73" s="11" t="str">
        <f t="shared" si="1"/>
        <v>Yes</v>
      </c>
    </row>
    <row r="74" spans="1:6" x14ac:dyDescent="0.3">
      <c r="A74" s="9" t="s">
        <v>2</v>
      </c>
      <c r="B74" s="9" t="s">
        <v>46</v>
      </c>
      <c r="C74" s="9" t="s">
        <v>96</v>
      </c>
      <c r="D74" s="9">
        <v>35</v>
      </c>
      <c r="E74" s="11" t="s">
        <v>107</v>
      </c>
      <c r="F74" s="11" t="str">
        <f t="shared" si="1"/>
        <v>No</v>
      </c>
    </row>
    <row r="75" spans="1:6" x14ac:dyDescent="0.3">
      <c r="A75" s="9" t="s">
        <v>2</v>
      </c>
      <c r="B75" s="9" t="s">
        <v>47</v>
      </c>
      <c r="C75" s="9" t="s">
        <v>96</v>
      </c>
      <c r="D75" s="9">
        <v>36</v>
      </c>
      <c r="E75" s="11" t="s">
        <v>107</v>
      </c>
      <c r="F75" s="11" t="str">
        <f t="shared" si="1"/>
        <v>No</v>
      </c>
    </row>
    <row r="76" spans="1:6" x14ac:dyDescent="0.3">
      <c r="A76" s="9" t="s">
        <v>2</v>
      </c>
      <c r="B76" s="9" t="s">
        <v>48</v>
      </c>
      <c r="C76" s="9" t="s">
        <v>97</v>
      </c>
      <c r="D76" s="9">
        <v>5</v>
      </c>
      <c r="E76" s="11" t="s">
        <v>106</v>
      </c>
      <c r="F76" s="11" t="str">
        <f t="shared" si="1"/>
        <v>Yes</v>
      </c>
    </row>
    <row r="77" spans="1:6" x14ac:dyDescent="0.3">
      <c r="A77" s="9" t="s">
        <v>2</v>
      </c>
      <c r="B77" s="9" t="s">
        <v>49</v>
      </c>
      <c r="C77" s="9" t="s">
        <v>97</v>
      </c>
      <c r="D77" s="9">
        <v>3</v>
      </c>
      <c r="E77" s="11" t="s">
        <v>107</v>
      </c>
      <c r="F77" s="11" t="str">
        <f t="shared" si="1"/>
        <v>No</v>
      </c>
    </row>
    <row r="78" spans="1:6" x14ac:dyDescent="0.3">
      <c r="A78" s="9" t="s">
        <v>2</v>
      </c>
      <c r="B78" s="9" t="s">
        <v>50</v>
      </c>
      <c r="C78" s="9" t="s">
        <v>97</v>
      </c>
      <c r="D78" s="9">
        <v>2</v>
      </c>
      <c r="E78" s="11" t="s">
        <v>107</v>
      </c>
      <c r="F78" s="11" t="str">
        <f t="shared" si="1"/>
        <v>No</v>
      </c>
    </row>
    <row r="79" spans="1:6" x14ac:dyDescent="0.3">
      <c r="A79" s="9" t="s">
        <v>2</v>
      </c>
      <c r="B79" s="9" t="s">
        <v>51</v>
      </c>
      <c r="C79" s="9" t="s">
        <v>99</v>
      </c>
      <c r="D79" s="9">
        <v>74</v>
      </c>
      <c r="E79" s="11" t="s">
        <v>106</v>
      </c>
      <c r="F79" s="11" t="str">
        <f t="shared" si="1"/>
        <v>Yes</v>
      </c>
    </row>
    <row r="80" spans="1:6" x14ac:dyDescent="0.3">
      <c r="A80" s="9" t="s">
        <v>2</v>
      </c>
      <c r="B80" s="9" t="s">
        <v>52</v>
      </c>
      <c r="C80" s="9" t="s">
        <v>99</v>
      </c>
      <c r="D80" s="9">
        <v>69</v>
      </c>
      <c r="E80" s="11" t="s">
        <v>107</v>
      </c>
      <c r="F80" s="11" t="str">
        <f t="shared" si="1"/>
        <v>No</v>
      </c>
    </row>
    <row r="81" spans="1:6" x14ac:dyDescent="0.3">
      <c r="A81" s="9" t="s">
        <v>2</v>
      </c>
      <c r="B81" s="9" t="s">
        <v>53</v>
      </c>
      <c r="C81" s="9" t="s">
        <v>99</v>
      </c>
      <c r="D81" s="9">
        <v>5</v>
      </c>
      <c r="E81" s="11" t="s">
        <v>107</v>
      </c>
      <c r="F81" s="11" t="str">
        <f t="shared" si="1"/>
        <v>No</v>
      </c>
    </row>
    <row r="82" spans="1:6" x14ac:dyDescent="0.3">
      <c r="A82" s="9" t="s">
        <v>2</v>
      </c>
      <c r="B82" s="9" t="s">
        <v>54</v>
      </c>
      <c r="C82" s="9" t="s">
        <v>98</v>
      </c>
      <c r="D82" s="9">
        <v>16</v>
      </c>
      <c r="E82" s="11" t="s">
        <v>106</v>
      </c>
      <c r="F82" s="11" t="str">
        <f t="shared" si="1"/>
        <v>Yes</v>
      </c>
    </row>
    <row r="83" spans="1:6" x14ac:dyDescent="0.3">
      <c r="A83" s="9" t="s">
        <v>2</v>
      </c>
      <c r="B83" s="9" t="s">
        <v>55</v>
      </c>
      <c r="C83" s="9" t="s">
        <v>98</v>
      </c>
      <c r="D83" s="9">
        <v>16</v>
      </c>
      <c r="E83" s="11" t="s">
        <v>107</v>
      </c>
      <c r="F83" s="11" t="str">
        <f t="shared" si="1"/>
        <v>No</v>
      </c>
    </row>
    <row r="84" spans="1:6" x14ac:dyDescent="0.3">
      <c r="A84" s="9" t="s">
        <v>2</v>
      </c>
      <c r="B84" s="9" t="s">
        <v>56</v>
      </c>
      <c r="C84" s="9" t="s">
        <v>98</v>
      </c>
      <c r="D84" s="9">
        <v>0</v>
      </c>
      <c r="E84" s="11" t="s">
        <v>107</v>
      </c>
      <c r="F84" s="11" t="str">
        <f t="shared" si="1"/>
        <v>No</v>
      </c>
    </row>
    <row r="85" spans="1:6" x14ac:dyDescent="0.3">
      <c r="A85" s="9" t="s">
        <v>2</v>
      </c>
      <c r="B85" s="9" t="s">
        <v>74</v>
      </c>
      <c r="C85" s="9" t="s">
        <v>74</v>
      </c>
      <c r="D85" s="9">
        <v>0</v>
      </c>
      <c r="E85" s="11" t="s">
        <v>105</v>
      </c>
      <c r="F85" s="11" t="str">
        <f t="shared" si="1"/>
        <v>Yes</v>
      </c>
    </row>
    <row r="86" spans="1:6" x14ac:dyDescent="0.3">
      <c r="A86" s="9" t="s">
        <v>2</v>
      </c>
      <c r="B86" s="9" t="s">
        <v>57</v>
      </c>
      <c r="C86" s="9" t="s">
        <v>100</v>
      </c>
      <c r="D86" s="9">
        <v>0</v>
      </c>
      <c r="E86" s="11" t="s">
        <v>106</v>
      </c>
      <c r="F86" s="11" t="str">
        <f t="shared" si="1"/>
        <v>Yes</v>
      </c>
    </row>
    <row r="87" spans="1:6" x14ac:dyDescent="0.3">
      <c r="A87" s="9" t="s">
        <v>2</v>
      </c>
      <c r="B87" s="9" t="s">
        <v>76</v>
      </c>
      <c r="C87" s="9" t="s">
        <v>100</v>
      </c>
      <c r="D87" s="9">
        <v>0</v>
      </c>
      <c r="E87" s="11" t="s">
        <v>107</v>
      </c>
      <c r="F87" s="11" t="str">
        <f t="shared" si="1"/>
        <v>No</v>
      </c>
    </row>
    <row r="88" spans="1:6" x14ac:dyDescent="0.3">
      <c r="A88" s="9" t="s">
        <v>2</v>
      </c>
      <c r="B88" s="9" t="s">
        <v>58</v>
      </c>
      <c r="C88" s="9" t="s">
        <v>100</v>
      </c>
      <c r="D88" s="9">
        <v>0</v>
      </c>
      <c r="E88" s="11" t="s">
        <v>107</v>
      </c>
      <c r="F88" s="11" t="str">
        <f t="shared" si="1"/>
        <v>No</v>
      </c>
    </row>
    <row r="89" spans="1:6" x14ac:dyDescent="0.3">
      <c r="A89" s="9" t="s">
        <v>2</v>
      </c>
      <c r="B89" s="9" t="s">
        <v>59</v>
      </c>
      <c r="C89" s="9" t="s">
        <v>100</v>
      </c>
      <c r="D89" s="9">
        <v>0</v>
      </c>
      <c r="E89" s="11" t="s">
        <v>107</v>
      </c>
      <c r="F89" s="11" t="str">
        <f t="shared" si="1"/>
        <v>No</v>
      </c>
    </row>
    <row r="90" spans="1:6" x14ac:dyDescent="0.3">
      <c r="A90" s="9" t="s">
        <v>2</v>
      </c>
      <c r="B90" s="9" t="s">
        <v>60</v>
      </c>
      <c r="C90" s="9" t="s">
        <v>100</v>
      </c>
      <c r="D90" s="9">
        <v>0</v>
      </c>
      <c r="E90" s="11" t="s">
        <v>107</v>
      </c>
      <c r="F90" s="11" t="str">
        <f t="shared" si="1"/>
        <v>No</v>
      </c>
    </row>
    <row r="91" spans="1:6" x14ac:dyDescent="0.3">
      <c r="A91" s="9" t="s">
        <v>2</v>
      </c>
      <c r="B91" s="9" t="s">
        <v>61</v>
      </c>
      <c r="C91" s="9" t="s">
        <v>100</v>
      </c>
      <c r="D91" s="9">
        <v>0</v>
      </c>
      <c r="E91" s="11" t="s">
        <v>107</v>
      </c>
      <c r="F91" s="11" t="str">
        <f t="shared" si="1"/>
        <v>No</v>
      </c>
    </row>
    <row r="92" spans="1:6" x14ac:dyDescent="0.3">
      <c r="A92" s="9" t="s">
        <v>2</v>
      </c>
      <c r="B92" s="9" t="s">
        <v>78</v>
      </c>
      <c r="C92" s="9" t="s">
        <v>95</v>
      </c>
      <c r="D92" s="9">
        <v>0</v>
      </c>
      <c r="E92" s="11" t="s">
        <v>105</v>
      </c>
      <c r="F92" s="11" t="str">
        <f t="shared" si="1"/>
        <v>Yes</v>
      </c>
    </row>
    <row r="93" spans="1:6" x14ac:dyDescent="0.3">
      <c r="A93" s="9" t="s">
        <v>2</v>
      </c>
      <c r="B93" s="9" t="s">
        <v>62</v>
      </c>
      <c r="C93" s="9" t="s">
        <v>101</v>
      </c>
      <c r="D93" s="9">
        <v>0</v>
      </c>
      <c r="E93" s="11" t="s">
        <v>106</v>
      </c>
      <c r="F93" s="11" t="str">
        <f t="shared" si="1"/>
        <v>Yes</v>
      </c>
    </row>
    <row r="94" spans="1:6" x14ac:dyDescent="0.3">
      <c r="A94" s="9" t="s">
        <v>2</v>
      </c>
      <c r="B94" s="9" t="s">
        <v>63</v>
      </c>
      <c r="C94" s="9" t="s">
        <v>101</v>
      </c>
      <c r="D94" s="9">
        <v>0</v>
      </c>
      <c r="E94" s="11" t="s">
        <v>107</v>
      </c>
      <c r="F94" s="11" t="str">
        <f t="shared" si="1"/>
        <v>No</v>
      </c>
    </row>
    <row r="95" spans="1:6" x14ac:dyDescent="0.3">
      <c r="A95" s="9" t="s">
        <v>2</v>
      </c>
      <c r="B95" s="9" t="s">
        <v>64</v>
      </c>
      <c r="C95" s="9" t="s">
        <v>101</v>
      </c>
      <c r="D95" s="9">
        <v>0</v>
      </c>
      <c r="E95" s="11" t="s">
        <v>107</v>
      </c>
      <c r="F95" s="11" t="str">
        <f t="shared" si="1"/>
        <v>No</v>
      </c>
    </row>
    <row r="96" spans="1:6" x14ac:dyDescent="0.3">
      <c r="A96" s="9" t="s">
        <v>2</v>
      </c>
      <c r="B96" s="9" t="s">
        <v>77</v>
      </c>
      <c r="C96" s="9" t="s">
        <v>102</v>
      </c>
      <c r="D96" s="9">
        <v>55</v>
      </c>
      <c r="E96" s="11" t="s">
        <v>106</v>
      </c>
      <c r="F96" s="11" t="str">
        <f t="shared" si="1"/>
        <v>Yes</v>
      </c>
    </row>
    <row r="97" spans="1:6" x14ac:dyDescent="0.3">
      <c r="A97" s="9" t="s">
        <v>2</v>
      </c>
      <c r="B97" s="9" t="s">
        <v>65</v>
      </c>
      <c r="C97" s="9" t="s">
        <v>102</v>
      </c>
      <c r="D97" s="9">
        <v>42</v>
      </c>
      <c r="E97" s="11" t="s">
        <v>107</v>
      </c>
      <c r="F97" s="11" t="str">
        <f t="shared" si="1"/>
        <v>No</v>
      </c>
    </row>
    <row r="98" spans="1:6" x14ac:dyDescent="0.3">
      <c r="A98" s="9" t="s">
        <v>2</v>
      </c>
      <c r="B98" s="9" t="s">
        <v>66</v>
      </c>
      <c r="C98" s="9" t="s">
        <v>102</v>
      </c>
      <c r="D98" s="9">
        <v>11</v>
      </c>
      <c r="E98" s="11" t="s">
        <v>107</v>
      </c>
      <c r="F98" s="11" t="str">
        <f t="shared" si="1"/>
        <v>No</v>
      </c>
    </row>
    <row r="99" spans="1:6" x14ac:dyDescent="0.3">
      <c r="A99" s="9" t="s">
        <v>2</v>
      </c>
      <c r="B99" s="9" t="s">
        <v>67</v>
      </c>
      <c r="C99" s="9" t="s">
        <v>102</v>
      </c>
      <c r="D99" s="9">
        <v>1</v>
      </c>
      <c r="E99" s="11" t="s">
        <v>107</v>
      </c>
      <c r="F99" s="11" t="str">
        <f t="shared" si="1"/>
        <v>No</v>
      </c>
    </row>
    <row r="100" spans="1:6" x14ac:dyDescent="0.3">
      <c r="A100" s="9" t="s">
        <v>2</v>
      </c>
      <c r="B100" s="9" t="s">
        <v>68</v>
      </c>
      <c r="C100" s="9" t="s">
        <v>102</v>
      </c>
      <c r="D100" s="9">
        <v>1</v>
      </c>
      <c r="E100" s="11" t="s">
        <v>107</v>
      </c>
      <c r="F100" s="11" t="str">
        <f t="shared" si="1"/>
        <v>No</v>
      </c>
    </row>
    <row r="101" spans="1:6" x14ac:dyDescent="0.3">
      <c r="A101" s="9" t="s">
        <v>2</v>
      </c>
      <c r="B101" s="9" t="s">
        <v>69</v>
      </c>
      <c r="C101" s="9" t="s">
        <v>102</v>
      </c>
      <c r="D101" s="9">
        <v>0</v>
      </c>
      <c r="E101" s="11" t="s">
        <v>107</v>
      </c>
      <c r="F101" s="11" t="str">
        <f t="shared" si="1"/>
        <v>No</v>
      </c>
    </row>
    <row r="102" spans="1:6" x14ac:dyDescent="0.3">
      <c r="A102" s="9" t="s">
        <v>2</v>
      </c>
      <c r="B102" s="9" t="s">
        <v>70</v>
      </c>
      <c r="C102" s="9" t="s">
        <v>102</v>
      </c>
      <c r="D102" s="9">
        <v>0</v>
      </c>
      <c r="E102" s="11" t="s">
        <v>107</v>
      </c>
      <c r="F102" s="11" t="str">
        <f t="shared" si="1"/>
        <v>No</v>
      </c>
    </row>
    <row r="103" spans="1:6" x14ac:dyDescent="0.3">
      <c r="A103" s="9" t="s">
        <v>2</v>
      </c>
      <c r="B103" s="9" t="s">
        <v>75</v>
      </c>
      <c r="C103" s="9" t="s">
        <v>103</v>
      </c>
      <c r="D103" s="9">
        <v>0</v>
      </c>
      <c r="E103" s="11" t="s">
        <v>105</v>
      </c>
      <c r="F103" s="11" t="str">
        <f t="shared" si="1"/>
        <v>Yes</v>
      </c>
    </row>
    <row r="104" spans="1:6" x14ac:dyDescent="0.3">
      <c r="A104" s="9" t="s">
        <v>3</v>
      </c>
      <c r="B104" s="9" t="s">
        <v>88</v>
      </c>
      <c r="C104" s="9" t="s">
        <v>92</v>
      </c>
      <c r="D104" s="9">
        <v>13</v>
      </c>
      <c r="E104" s="11" t="s">
        <v>105</v>
      </c>
      <c r="F104" s="11" t="str">
        <f t="shared" si="1"/>
        <v>Yes</v>
      </c>
    </row>
    <row r="105" spans="1:6" x14ac:dyDescent="0.3">
      <c r="A105" s="9" t="s">
        <v>3</v>
      </c>
      <c r="B105" s="9" t="s">
        <v>38</v>
      </c>
      <c r="C105" s="9" t="s">
        <v>93</v>
      </c>
      <c r="D105" s="9">
        <v>101</v>
      </c>
      <c r="E105" s="11" t="s">
        <v>105</v>
      </c>
      <c r="F105" s="11" t="str">
        <f t="shared" si="1"/>
        <v>Yes</v>
      </c>
    </row>
    <row r="106" spans="1:6" x14ac:dyDescent="0.3">
      <c r="A106" s="9" t="s">
        <v>3</v>
      </c>
      <c r="B106" s="9" t="s">
        <v>87</v>
      </c>
      <c r="C106" s="9" t="s">
        <v>94</v>
      </c>
      <c r="D106" s="9">
        <v>102</v>
      </c>
      <c r="E106" s="11" t="s">
        <v>105</v>
      </c>
      <c r="F106" s="11" t="str">
        <f t="shared" si="1"/>
        <v>Yes</v>
      </c>
    </row>
    <row r="107" spans="1:6" x14ac:dyDescent="0.3">
      <c r="A107" s="9" t="s">
        <v>3</v>
      </c>
      <c r="B107" s="9" t="s">
        <v>86</v>
      </c>
      <c r="C107" s="9" t="s">
        <v>86</v>
      </c>
      <c r="D107" s="9">
        <v>4</v>
      </c>
      <c r="E107" s="11" t="s">
        <v>105</v>
      </c>
      <c r="F107" s="11" t="str">
        <f t="shared" si="1"/>
        <v>Yes</v>
      </c>
    </row>
    <row r="108" spans="1:6" x14ac:dyDescent="0.3">
      <c r="A108" s="9" t="s">
        <v>3</v>
      </c>
      <c r="B108" s="9" t="s">
        <v>85</v>
      </c>
      <c r="C108" s="9" t="s">
        <v>85</v>
      </c>
      <c r="D108" s="9">
        <v>4</v>
      </c>
      <c r="E108" s="11" t="s">
        <v>105</v>
      </c>
      <c r="F108" s="11" t="str">
        <f t="shared" si="1"/>
        <v>Yes</v>
      </c>
    </row>
    <row r="109" spans="1:6" x14ac:dyDescent="0.3">
      <c r="A109" s="9" t="s">
        <v>3</v>
      </c>
      <c r="B109" s="9" t="s">
        <v>84</v>
      </c>
      <c r="C109" s="9" t="s">
        <v>85</v>
      </c>
      <c r="D109" s="9">
        <v>2</v>
      </c>
      <c r="E109" s="11" t="s">
        <v>105</v>
      </c>
      <c r="F109" s="11" t="str">
        <f t="shared" si="1"/>
        <v>Yes</v>
      </c>
    </row>
    <row r="110" spans="1:6" x14ac:dyDescent="0.3">
      <c r="A110" s="9" t="s">
        <v>3</v>
      </c>
      <c r="B110" s="9" t="s">
        <v>83</v>
      </c>
      <c r="C110" s="9" t="s">
        <v>95</v>
      </c>
      <c r="D110" s="9">
        <v>2923</v>
      </c>
      <c r="E110" s="11" t="s">
        <v>105</v>
      </c>
      <c r="F110" s="11" t="str">
        <f t="shared" si="1"/>
        <v>Yes</v>
      </c>
    </row>
    <row r="111" spans="1:6" x14ac:dyDescent="0.3">
      <c r="A111" s="9" t="s">
        <v>3</v>
      </c>
      <c r="B111" s="9" t="s">
        <v>39</v>
      </c>
      <c r="C111" s="9" t="s">
        <v>40</v>
      </c>
      <c r="D111" s="9">
        <v>3110</v>
      </c>
      <c r="E111" s="11" t="s">
        <v>106</v>
      </c>
      <c r="F111" s="11" t="str">
        <f t="shared" si="1"/>
        <v>Yes</v>
      </c>
    </row>
    <row r="112" spans="1:6" x14ac:dyDescent="0.3">
      <c r="A112" s="9" t="s">
        <v>3</v>
      </c>
      <c r="B112" s="9" t="s">
        <v>40</v>
      </c>
      <c r="C112" s="9" t="s">
        <v>40</v>
      </c>
      <c r="D112" s="9">
        <v>645</v>
      </c>
      <c r="E112" s="11" t="s">
        <v>107</v>
      </c>
      <c r="F112" s="11" t="str">
        <f t="shared" si="1"/>
        <v>No</v>
      </c>
    </row>
    <row r="113" spans="1:6" x14ac:dyDescent="0.3">
      <c r="A113" s="9" t="s">
        <v>3</v>
      </c>
      <c r="B113" s="9" t="s">
        <v>41</v>
      </c>
      <c r="C113" s="9" t="s">
        <v>40</v>
      </c>
      <c r="D113" s="9">
        <v>3</v>
      </c>
      <c r="E113" s="11" t="s">
        <v>107</v>
      </c>
      <c r="F113" s="11" t="str">
        <f t="shared" si="1"/>
        <v>No</v>
      </c>
    </row>
    <row r="114" spans="1:6" x14ac:dyDescent="0.3">
      <c r="A114" s="9" t="s">
        <v>3</v>
      </c>
      <c r="B114" s="9" t="s">
        <v>42</v>
      </c>
      <c r="C114" s="9" t="s">
        <v>40</v>
      </c>
      <c r="D114" s="9">
        <v>15</v>
      </c>
      <c r="E114" s="11" t="s">
        <v>107</v>
      </c>
      <c r="F114" s="11" t="str">
        <f t="shared" si="1"/>
        <v>No</v>
      </c>
    </row>
    <row r="115" spans="1:6" x14ac:dyDescent="0.3">
      <c r="A115" s="9" t="s">
        <v>3</v>
      </c>
      <c r="B115" s="9" t="s">
        <v>43</v>
      </c>
      <c r="C115" s="9" t="s">
        <v>40</v>
      </c>
      <c r="D115" s="9">
        <v>1371</v>
      </c>
      <c r="E115" s="11" t="s">
        <v>106</v>
      </c>
      <c r="F115" s="11" t="str">
        <f t="shared" si="1"/>
        <v>No</v>
      </c>
    </row>
    <row r="116" spans="1:6" x14ac:dyDescent="0.3">
      <c r="A116" s="9" t="s">
        <v>3</v>
      </c>
      <c r="B116" s="9" t="s">
        <v>44</v>
      </c>
      <c r="C116" s="9" t="s">
        <v>40</v>
      </c>
      <c r="D116" s="9">
        <v>1000</v>
      </c>
      <c r="E116" s="11" t="s">
        <v>107</v>
      </c>
      <c r="F116" s="11" t="str">
        <f t="shared" si="1"/>
        <v>No</v>
      </c>
    </row>
    <row r="117" spans="1:6" x14ac:dyDescent="0.3">
      <c r="A117" s="9" t="s">
        <v>3</v>
      </c>
      <c r="B117" s="9" t="s">
        <v>45</v>
      </c>
      <c r="C117" s="9" t="s">
        <v>40</v>
      </c>
      <c r="D117" s="9">
        <v>371</v>
      </c>
      <c r="E117" s="11" t="s">
        <v>107</v>
      </c>
      <c r="F117" s="11" t="str">
        <f t="shared" si="1"/>
        <v>No</v>
      </c>
    </row>
    <row r="118" spans="1:6" x14ac:dyDescent="0.3">
      <c r="A118" s="9" t="s">
        <v>3</v>
      </c>
      <c r="B118" s="9" t="s">
        <v>71</v>
      </c>
      <c r="C118" s="9" t="s">
        <v>40</v>
      </c>
      <c r="D118" s="9">
        <v>454</v>
      </c>
      <c r="E118" s="11" t="s">
        <v>105</v>
      </c>
      <c r="F118" s="11" t="str">
        <f t="shared" si="1"/>
        <v>Yes</v>
      </c>
    </row>
    <row r="119" spans="1:6" x14ac:dyDescent="0.3">
      <c r="A119" s="9" t="s">
        <v>3</v>
      </c>
      <c r="B119" s="9" t="s">
        <v>72</v>
      </c>
      <c r="C119" s="9" t="s">
        <v>40</v>
      </c>
      <c r="D119" s="9">
        <v>0</v>
      </c>
      <c r="E119" s="11" t="s">
        <v>105</v>
      </c>
      <c r="F119" s="11" t="str">
        <f t="shared" si="1"/>
        <v>Yes</v>
      </c>
    </row>
    <row r="120" spans="1:6" x14ac:dyDescent="0.3">
      <c r="A120" s="9" t="s">
        <v>3</v>
      </c>
      <c r="B120" s="9" t="s">
        <v>82</v>
      </c>
      <c r="C120" s="9" t="s">
        <v>40</v>
      </c>
      <c r="D120" s="9">
        <v>622</v>
      </c>
      <c r="E120" s="11" t="s">
        <v>105</v>
      </c>
      <c r="F120" s="11" t="str">
        <f t="shared" si="1"/>
        <v>Yes</v>
      </c>
    </row>
    <row r="121" spans="1:6" x14ac:dyDescent="0.3">
      <c r="A121" s="9" t="s">
        <v>3</v>
      </c>
      <c r="B121" s="9" t="s">
        <v>81</v>
      </c>
      <c r="C121" s="9" t="s">
        <v>81</v>
      </c>
      <c r="D121" s="9">
        <v>81</v>
      </c>
      <c r="E121" s="11" t="s">
        <v>105</v>
      </c>
      <c r="F121" s="11" t="str">
        <f t="shared" si="1"/>
        <v>Yes</v>
      </c>
    </row>
    <row r="122" spans="1:6" x14ac:dyDescent="0.3">
      <c r="A122" s="9" t="s">
        <v>3</v>
      </c>
      <c r="B122" s="9" t="s">
        <v>73</v>
      </c>
      <c r="C122" s="9" t="s">
        <v>81</v>
      </c>
      <c r="D122" s="9">
        <v>5</v>
      </c>
      <c r="E122" s="11" t="s">
        <v>105</v>
      </c>
      <c r="F122" s="11" t="str">
        <f t="shared" si="1"/>
        <v>Yes</v>
      </c>
    </row>
    <row r="123" spans="1:6" x14ac:dyDescent="0.3">
      <c r="A123" s="9" t="s">
        <v>3</v>
      </c>
      <c r="B123" s="9" t="s">
        <v>80</v>
      </c>
      <c r="C123" s="9" t="s">
        <v>81</v>
      </c>
      <c r="D123" s="9">
        <v>0</v>
      </c>
      <c r="E123" s="11" t="s">
        <v>105</v>
      </c>
      <c r="F123" s="11" t="str">
        <f t="shared" si="1"/>
        <v>Yes</v>
      </c>
    </row>
    <row r="124" spans="1:6" x14ac:dyDescent="0.3">
      <c r="A124" s="9" t="s">
        <v>3</v>
      </c>
      <c r="B124" s="9" t="s">
        <v>79</v>
      </c>
      <c r="C124" s="9" t="s">
        <v>96</v>
      </c>
      <c r="D124" s="9">
        <v>989</v>
      </c>
      <c r="E124" s="11" t="s">
        <v>106</v>
      </c>
      <c r="F124" s="11" t="str">
        <f t="shared" si="1"/>
        <v>Yes</v>
      </c>
    </row>
    <row r="125" spans="1:6" x14ac:dyDescent="0.3">
      <c r="A125" s="9" t="s">
        <v>3</v>
      </c>
      <c r="B125" s="9" t="s">
        <v>46</v>
      </c>
      <c r="C125" s="9" t="s">
        <v>96</v>
      </c>
      <c r="D125" s="9">
        <v>988</v>
      </c>
      <c r="E125" s="11" t="s">
        <v>107</v>
      </c>
      <c r="F125" s="11" t="str">
        <f t="shared" si="1"/>
        <v>No</v>
      </c>
    </row>
    <row r="126" spans="1:6" x14ac:dyDescent="0.3">
      <c r="A126" s="9" t="s">
        <v>3</v>
      </c>
      <c r="B126" s="9" t="s">
        <v>47</v>
      </c>
      <c r="C126" s="9" t="s">
        <v>96</v>
      </c>
      <c r="D126" s="9">
        <v>1</v>
      </c>
      <c r="E126" s="11" t="s">
        <v>107</v>
      </c>
      <c r="F126" s="11" t="str">
        <f t="shared" si="1"/>
        <v>No</v>
      </c>
    </row>
    <row r="127" spans="1:6" x14ac:dyDescent="0.3">
      <c r="A127" s="9" t="s">
        <v>3</v>
      </c>
      <c r="B127" s="9" t="s">
        <v>48</v>
      </c>
      <c r="C127" s="9" t="s">
        <v>97</v>
      </c>
      <c r="D127" s="9">
        <v>173</v>
      </c>
      <c r="E127" s="11" t="s">
        <v>106</v>
      </c>
      <c r="F127" s="11" t="str">
        <f t="shared" si="1"/>
        <v>Yes</v>
      </c>
    </row>
    <row r="128" spans="1:6" x14ac:dyDescent="0.3">
      <c r="A128" s="9" t="s">
        <v>3</v>
      </c>
      <c r="B128" s="9" t="s">
        <v>49</v>
      </c>
      <c r="C128" s="9" t="s">
        <v>97</v>
      </c>
      <c r="D128" s="9">
        <v>173</v>
      </c>
      <c r="E128" s="11" t="s">
        <v>107</v>
      </c>
      <c r="F128" s="11" t="str">
        <f t="shared" si="1"/>
        <v>No</v>
      </c>
    </row>
    <row r="129" spans="1:6" x14ac:dyDescent="0.3">
      <c r="A129" s="9" t="s">
        <v>3</v>
      </c>
      <c r="B129" s="9" t="s">
        <v>50</v>
      </c>
      <c r="C129" s="9" t="s">
        <v>97</v>
      </c>
      <c r="D129" s="9">
        <v>0</v>
      </c>
      <c r="E129" s="11" t="s">
        <v>107</v>
      </c>
      <c r="F129" s="11" t="str">
        <f t="shared" si="1"/>
        <v>No</v>
      </c>
    </row>
    <row r="130" spans="1:6" x14ac:dyDescent="0.3">
      <c r="A130" s="9" t="s">
        <v>3</v>
      </c>
      <c r="B130" s="9" t="s">
        <v>51</v>
      </c>
      <c r="C130" s="9" t="s">
        <v>99</v>
      </c>
      <c r="D130" s="9">
        <v>1595</v>
      </c>
      <c r="E130" s="11" t="s">
        <v>106</v>
      </c>
      <c r="F130" s="11" t="str">
        <f t="shared" ref="F130:F193" si="2">IF(E130="Standalone","Yes",IF(AND(E130="Total",OR(B130="Kidnapping &amp; Abduction (Total)",B130="Rape (Total)",B130="Attempt to Rape (Total)",B130="Assault to Outrage Modesty (Total)",B130="Insult to Modesty (Total)",B130="Immoral Traffic (Prevention) Act (Total)",B130="Women-Centric Cyber Crime (Total)",B130="POCSO (Protection of Children from Sexual Offences Act) (Total)")),"Yes","No"))</f>
        <v>Yes</v>
      </c>
    </row>
    <row r="131" spans="1:6" x14ac:dyDescent="0.3">
      <c r="A131" s="9" t="s">
        <v>3</v>
      </c>
      <c r="B131" s="9" t="s">
        <v>52</v>
      </c>
      <c r="C131" s="9" t="s">
        <v>99</v>
      </c>
      <c r="D131" s="9">
        <v>1582</v>
      </c>
      <c r="E131" s="11" t="s">
        <v>107</v>
      </c>
      <c r="F131" s="11" t="str">
        <f t="shared" si="2"/>
        <v>No</v>
      </c>
    </row>
    <row r="132" spans="1:6" x14ac:dyDescent="0.3">
      <c r="A132" s="9" t="s">
        <v>3</v>
      </c>
      <c r="B132" s="9" t="s">
        <v>53</v>
      </c>
      <c r="C132" s="9" t="s">
        <v>99</v>
      </c>
      <c r="D132" s="9">
        <v>13</v>
      </c>
      <c r="E132" s="11" t="s">
        <v>107</v>
      </c>
      <c r="F132" s="11" t="str">
        <f t="shared" si="2"/>
        <v>No</v>
      </c>
    </row>
    <row r="133" spans="1:6" x14ac:dyDescent="0.3">
      <c r="A133" s="9" t="s">
        <v>3</v>
      </c>
      <c r="B133" s="9" t="s">
        <v>54</v>
      </c>
      <c r="C133" s="9" t="s">
        <v>98</v>
      </c>
      <c r="D133" s="9">
        <v>42</v>
      </c>
      <c r="E133" s="11" t="s">
        <v>106</v>
      </c>
      <c r="F133" s="11" t="str">
        <f t="shared" si="2"/>
        <v>Yes</v>
      </c>
    </row>
    <row r="134" spans="1:6" x14ac:dyDescent="0.3">
      <c r="A134" s="9" t="s">
        <v>3</v>
      </c>
      <c r="B134" s="9" t="s">
        <v>55</v>
      </c>
      <c r="C134" s="9" t="s">
        <v>98</v>
      </c>
      <c r="D134" s="9">
        <v>42</v>
      </c>
      <c r="E134" s="11" t="s">
        <v>107</v>
      </c>
      <c r="F134" s="11" t="str">
        <f t="shared" si="2"/>
        <v>No</v>
      </c>
    </row>
    <row r="135" spans="1:6" x14ac:dyDescent="0.3">
      <c r="A135" s="9" t="s">
        <v>3</v>
      </c>
      <c r="B135" s="9" t="s">
        <v>56</v>
      </c>
      <c r="C135" s="9" t="s">
        <v>98</v>
      </c>
      <c r="D135" s="9">
        <v>0</v>
      </c>
      <c r="E135" s="11" t="s">
        <v>107</v>
      </c>
      <c r="F135" s="11" t="str">
        <f t="shared" si="2"/>
        <v>No</v>
      </c>
    </row>
    <row r="136" spans="1:6" x14ac:dyDescent="0.3">
      <c r="A136" s="9" t="s">
        <v>3</v>
      </c>
      <c r="B136" s="9" t="s">
        <v>74</v>
      </c>
      <c r="C136" s="9" t="s">
        <v>74</v>
      </c>
      <c r="D136" s="9">
        <v>162</v>
      </c>
      <c r="E136" s="11" t="s">
        <v>105</v>
      </c>
      <c r="F136" s="11" t="str">
        <f t="shared" si="2"/>
        <v>Yes</v>
      </c>
    </row>
    <row r="137" spans="1:6" x14ac:dyDescent="0.3">
      <c r="A137" s="9" t="s">
        <v>3</v>
      </c>
      <c r="B137" s="9" t="s">
        <v>57</v>
      </c>
      <c r="C137" s="9" t="s">
        <v>100</v>
      </c>
      <c r="D137" s="9">
        <v>30</v>
      </c>
      <c r="E137" s="11" t="s">
        <v>106</v>
      </c>
      <c r="F137" s="11" t="str">
        <f t="shared" si="2"/>
        <v>Yes</v>
      </c>
    </row>
    <row r="138" spans="1:6" x14ac:dyDescent="0.3">
      <c r="A138" s="9" t="s">
        <v>3</v>
      </c>
      <c r="B138" s="9" t="s">
        <v>76</v>
      </c>
      <c r="C138" s="9" t="s">
        <v>100</v>
      </c>
      <c r="D138" s="9">
        <v>3</v>
      </c>
      <c r="E138" s="11" t="s">
        <v>107</v>
      </c>
      <c r="F138" s="11" t="str">
        <f t="shared" si="2"/>
        <v>No</v>
      </c>
    </row>
    <row r="139" spans="1:6" x14ac:dyDescent="0.3">
      <c r="A139" s="9" t="s">
        <v>3</v>
      </c>
      <c r="B139" s="9" t="s">
        <v>58</v>
      </c>
      <c r="C139" s="9" t="s">
        <v>100</v>
      </c>
      <c r="D139" s="9">
        <v>0</v>
      </c>
      <c r="E139" s="11" t="s">
        <v>107</v>
      </c>
      <c r="F139" s="11" t="str">
        <f t="shared" si="2"/>
        <v>No</v>
      </c>
    </row>
    <row r="140" spans="1:6" x14ac:dyDescent="0.3">
      <c r="A140" s="9" t="s">
        <v>3</v>
      </c>
      <c r="B140" s="9" t="s">
        <v>59</v>
      </c>
      <c r="C140" s="9" t="s">
        <v>100</v>
      </c>
      <c r="D140" s="9">
        <v>0</v>
      </c>
      <c r="E140" s="11" t="s">
        <v>107</v>
      </c>
      <c r="F140" s="11" t="str">
        <f t="shared" si="2"/>
        <v>No</v>
      </c>
    </row>
    <row r="141" spans="1:6" x14ac:dyDescent="0.3">
      <c r="A141" s="9" t="s">
        <v>3</v>
      </c>
      <c r="B141" s="9" t="s">
        <v>60</v>
      </c>
      <c r="C141" s="9" t="s">
        <v>100</v>
      </c>
      <c r="D141" s="9">
        <v>0</v>
      </c>
      <c r="E141" s="11" t="s">
        <v>107</v>
      </c>
      <c r="F141" s="11" t="str">
        <f t="shared" si="2"/>
        <v>No</v>
      </c>
    </row>
    <row r="142" spans="1:6" x14ac:dyDescent="0.3">
      <c r="A142" s="9" t="s">
        <v>3</v>
      </c>
      <c r="B142" s="9" t="s">
        <v>61</v>
      </c>
      <c r="C142" s="9" t="s">
        <v>100</v>
      </c>
      <c r="D142" s="9">
        <v>27</v>
      </c>
      <c r="E142" s="11" t="s">
        <v>107</v>
      </c>
      <c r="F142" s="11" t="str">
        <f t="shared" si="2"/>
        <v>No</v>
      </c>
    </row>
    <row r="143" spans="1:6" x14ac:dyDescent="0.3">
      <c r="A143" s="9" t="s">
        <v>3</v>
      </c>
      <c r="B143" s="9" t="s">
        <v>78</v>
      </c>
      <c r="C143" s="9" t="s">
        <v>95</v>
      </c>
      <c r="D143" s="9">
        <v>3</v>
      </c>
      <c r="E143" s="11" t="s">
        <v>105</v>
      </c>
      <c r="F143" s="11" t="str">
        <f t="shared" si="2"/>
        <v>Yes</v>
      </c>
    </row>
    <row r="144" spans="1:6" x14ac:dyDescent="0.3">
      <c r="A144" s="9" t="s">
        <v>3</v>
      </c>
      <c r="B144" s="9" t="s">
        <v>62</v>
      </c>
      <c r="C144" s="9" t="s">
        <v>101</v>
      </c>
      <c r="D144" s="9">
        <v>182</v>
      </c>
      <c r="E144" s="11" t="s">
        <v>106</v>
      </c>
      <c r="F144" s="11" t="str">
        <f t="shared" si="2"/>
        <v>Yes</v>
      </c>
    </row>
    <row r="145" spans="1:6" x14ac:dyDescent="0.3">
      <c r="A145" s="9" t="s">
        <v>3</v>
      </c>
      <c r="B145" s="9" t="s">
        <v>63</v>
      </c>
      <c r="C145" s="9" t="s">
        <v>101</v>
      </c>
      <c r="D145" s="9">
        <v>97</v>
      </c>
      <c r="E145" s="11" t="s">
        <v>107</v>
      </c>
      <c r="F145" s="11" t="str">
        <f t="shared" si="2"/>
        <v>No</v>
      </c>
    </row>
    <row r="146" spans="1:6" x14ac:dyDescent="0.3">
      <c r="A146" s="9" t="s">
        <v>3</v>
      </c>
      <c r="B146" s="9" t="s">
        <v>64</v>
      </c>
      <c r="C146" s="9" t="s">
        <v>101</v>
      </c>
      <c r="D146" s="9">
        <v>85</v>
      </c>
      <c r="E146" s="11" t="s">
        <v>107</v>
      </c>
      <c r="F146" s="11" t="str">
        <f t="shared" si="2"/>
        <v>No</v>
      </c>
    </row>
    <row r="147" spans="1:6" x14ac:dyDescent="0.3">
      <c r="A147" s="9" t="s">
        <v>3</v>
      </c>
      <c r="B147" s="9" t="s">
        <v>77</v>
      </c>
      <c r="C147" s="9" t="s">
        <v>102</v>
      </c>
      <c r="D147" s="9">
        <v>2549</v>
      </c>
      <c r="E147" s="11" t="s">
        <v>106</v>
      </c>
      <c r="F147" s="11" t="str">
        <f t="shared" si="2"/>
        <v>Yes</v>
      </c>
    </row>
    <row r="148" spans="1:6" x14ac:dyDescent="0.3">
      <c r="A148" s="9" t="s">
        <v>3</v>
      </c>
      <c r="B148" s="9" t="s">
        <v>65</v>
      </c>
      <c r="C148" s="9" t="s">
        <v>102</v>
      </c>
      <c r="D148" s="9">
        <v>1816</v>
      </c>
      <c r="E148" s="11" t="s">
        <v>107</v>
      </c>
      <c r="F148" s="11" t="str">
        <f t="shared" si="2"/>
        <v>No</v>
      </c>
    </row>
    <row r="149" spans="1:6" x14ac:dyDescent="0.3">
      <c r="A149" s="9" t="s">
        <v>3</v>
      </c>
      <c r="B149" s="9" t="s">
        <v>66</v>
      </c>
      <c r="C149" s="9" t="s">
        <v>102</v>
      </c>
      <c r="D149" s="9">
        <v>475</v>
      </c>
      <c r="E149" s="11" t="s">
        <v>107</v>
      </c>
      <c r="F149" s="11" t="str">
        <f t="shared" si="2"/>
        <v>No</v>
      </c>
    </row>
    <row r="150" spans="1:6" x14ac:dyDescent="0.3">
      <c r="A150" s="9" t="s">
        <v>3</v>
      </c>
      <c r="B150" s="9" t="s">
        <v>67</v>
      </c>
      <c r="C150" s="9" t="s">
        <v>102</v>
      </c>
      <c r="D150" s="9">
        <v>121</v>
      </c>
      <c r="E150" s="11" t="s">
        <v>107</v>
      </c>
      <c r="F150" s="11" t="str">
        <f t="shared" si="2"/>
        <v>No</v>
      </c>
    </row>
    <row r="151" spans="1:6" x14ac:dyDescent="0.3">
      <c r="A151" s="9" t="s">
        <v>3</v>
      </c>
      <c r="B151" s="9" t="s">
        <v>68</v>
      </c>
      <c r="C151" s="9" t="s">
        <v>102</v>
      </c>
      <c r="D151" s="9">
        <v>12</v>
      </c>
      <c r="E151" s="11" t="s">
        <v>107</v>
      </c>
      <c r="F151" s="11" t="str">
        <f t="shared" si="2"/>
        <v>No</v>
      </c>
    </row>
    <row r="152" spans="1:6" x14ac:dyDescent="0.3">
      <c r="A152" s="9" t="s">
        <v>3</v>
      </c>
      <c r="B152" s="9" t="s">
        <v>69</v>
      </c>
      <c r="C152" s="9" t="s">
        <v>102</v>
      </c>
      <c r="D152" s="9">
        <v>125</v>
      </c>
      <c r="E152" s="11" t="s">
        <v>107</v>
      </c>
      <c r="F152" s="11" t="str">
        <f t="shared" si="2"/>
        <v>No</v>
      </c>
    </row>
    <row r="153" spans="1:6" x14ac:dyDescent="0.3">
      <c r="A153" s="9" t="s">
        <v>3</v>
      </c>
      <c r="B153" s="9" t="s">
        <v>70</v>
      </c>
      <c r="C153" s="9" t="s">
        <v>102</v>
      </c>
      <c r="D153" s="9">
        <v>0</v>
      </c>
      <c r="E153" s="11" t="s">
        <v>107</v>
      </c>
      <c r="F153" s="11" t="str">
        <f t="shared" si="2"/>
        <v>No</v>
      </c>
    </row>
    <row r="154" spans="1:6" x14ac:dyDescent="0.3">
      <c r="A154" s="9" t="s">
        <v>3</v>
      </c>
      <c r="B154" s="9" t="s">
        <v>75</v>
      </c>
      <c r="C154" s="9" t="s">
        <v>103</v>
      </c>
      <c r="D154" s="9">
        <v>0</v>
      </c>
      <c r="E154" s="11" t="s">
        <v>105</v>
      </c>
      <c r="F154" s="11" t="str">
        <f t="shared" si="2"/>
        <v>Yes</v>
      </c>
    </row>
    <row r="155" spans="1:6" x14ac:dyDescent="0.3">
      <c r="A155" s="9" t="s">
        <v>4</v>
      </c>
      <c r="B155" s="9" t="s">
        <v>88</v>
      </c>
      <c r="C155" s="9" t="s">
        <v>92</v>
      </c>
      <c r="D155" s="9">
        <v>4</v>
      </c>
      <c r="E155" s="11" t="s">
        <v>105</v>
      </c>
      <c r="F155" s="11" t="str">
        <f t="shared" si="2"/>
        <v>Yes</v>
      </c>
    </row>
    <row r="156" spans="1:6" x14ac:dyDescent="0.3">
      <c r="A156" s="9" t="s">
        <v>4</v>
      </c>
      <c r="B156" s="9" t="s">
        <v>38</v>
      </c>
      <c r="C156" s="9" t="s">
        <v>93</v>
      </c>
      <c r="D156" s="9">
        <v>1143</v>
      </c>
      <c r="E156" s="11" t="s">
        <v>105</v>
      </c>
      <c r="F156" s="11" t="str">
        <f t="shared" si="2"/>
        <v>Yes</v>
      </c>
    </row>
    <row r="157" spans="1:6" x14ac:dyDescent="0.3">
      <c r="A157" s="9" t="s">
        <v>4</v>
      </c>
      <c r="B157" s="9" t="s">
        <v>87</v>
      </c>
      <c r="C157" s="9" t="s">
        <v>94</v>
      </c>
      <c r="D157" s="9">
        <v>3</v>
      </c>
      <c r="E157" s="11" t="s">
        <v>105</v>
      </c>
      <c r="F157" s="11" t="str">
        <f t="shared" si="2"/>
        <v>Yes</v>
      </c>
    </row>
    <row r="158" spans="1:6" x14ac:dyDescent="0.3">
      <c r="A158" s="9" t="s">
        <v>4</v>
      </c>
      <c r="B158" s="9" t="s">
        <v>86</v>
      </c>
      <c r="C158" s="9" t="s">
        <v>86</v>
      </c>
      <c r="D158" s="9">
        <v>0</v>
      </c>
      <c r="E158" s="11" t="s">
        <v>105</v>
      </c>
      <c r="F158" s="11" t="str">
        <f t="shared" si="2"/>
        <v>Yes</v>
      </c>
    </row>
    <row r="159" spans="1:6" x14ac:dyDescent="0.3">
      <c r="A159" s="9" t="s">
        <v>4</v>
      </c>
      <c r="B159" s="9" t="s">
        <v>85</v>
      </c>
      <c r="C159" s="9" t="s">
        <v>85</v>
      </c>
      <c r="D159" s="9">
        <v>5</v>
      </c>
      <c r="E159" s="11" t="s">
        <v>105</v>
      </c>
      <c r="F159" s="11" t="str">
        <f t="shared" si="2"/>
        <v>Yes</v>
      </c>
    </row>
    <row r="160" spans="1:6" x14ac:dyDescent="0.3">
      <c r="A160" s="9" t="s">
        <v>4</v>
      </c>
      <c r="B160" s="9" t="s">
        <v>84</v>
      </c>
      <c r="C160" s="9" t="s">
        <v>85</v>
      </c>
      <c r="D160" s="9">
        <v>0</v>
      </c>
      <c r="E160" s="11" t="s">
        <v>105</v>
      </c>
      <c r="F160" s="11" t="str">
        <f t="shared" si="2"/>
        <v>Yes</v>
      </c>
    </row>
    <row r="161" spans="1:6" x14ac:dyDescent="0.3">
      <c r="A161" s="9" t="s">
        <v>4</v>
      </c>
      <c r="B161" s="9" t="s">
        <v>83</v>
      </c>
      <c r="C161" s="9" t="s">
        <v>95</v>
      </c>
      <c r="D161" s="9">
        <v>2032</v>
      </c>
      <c r="E161" s="11" t="s">
        <v>105</v>
      </c>
      <c r="F161" s="11" t="str">
        <f t="shared" si="2"/>
        <v>Yes</v>
      </c>
    </row>
    <row r="162" spans="1:6" x14ac:dyDescent="0.3">
      <c r="A162" s="9" t="s">
        <v>4</v>
      </c>
      <c r="B162" s="9" t="s">
        <v>39</v>
      </c>
      <c r="C162" s="9" t="s">
        <v>40</v>
      </c>
      <c r="D162" s="9">
        <v>12136</v>
      </c>
      <c r="E162" s="11" t="s">
        <v>106</v>
      </c>
      <c r="F162" s="11" t="str">
        <f t="shared" si="2"/>
        <v>Yes</v>
      </c>
    </row>
    <row r="163" spans="1:6" x14ac:dyDescent="0.3">
      <c r="A163" s="9" t="s">
        <v>4</v>
      </c>
      <c r="B163" s="9" t="s">
        <v>40</v>
      </c>
      <c r="C163" s="9" t="s">
        <v>40</v>
      </c>
      <c r="D163" s="9">
        <v>868</v>
      </c>
      <c r="E163" s="11" t="s">
        <v>107</v>
      </c>
      <c r="F163" s="11" t="str">
        <f t="shared" si="2"/>
        <v>No</v>
      </c>
    </row>
    <row r="164" spans="1:6" x14ac:dyDescent="0.3">
      <c r="A164" s="9" t="s">
        <v>4</v>
      </c>
      <c r="B164" s="9" t="s">
        <v>41</v>
      </c>
      <c r="C164" s="9" t="s">
        <v>40</v>
      </c>
      <c r="D164" s="9">
        <v>6</v>
      </c>
      <c r="E164" s="11" t="s">
        <v>107</v>
      </c>
      <c r="F164" s="11" t="str">
        <f t="shared" si="2"/>
        <v>No</v>
      </c>
    </row>
    <row r="165" spans="1:6" x14ac:dyDescent="0.3">
      <c r="A165" s="9" t="s">
        <v>4</v>
      </c>
      <c r="B165" s="9" t="s">
        <v>42</v>
      </c>
      <c r="C165" s="9" t="s">
        <v>40</v>
      </c>
      <c r="D165" s="9">
        <v>2</v>
      </c>
      <c r="E165" s="11" t="s">
        <v>107</v>
      </c>
      <c r="F165" s="11" t="str">
        <f t="shared" si="2"/>
        <v>No</v>
      </c>
    </row>
    <row r="166" spans="1:6" x14ac:dyDescent="0.3">
      <c r="A166" s="9" t="s">
        <v>4</v>
      </c>
      <c r="B166" s="9" t="s">
        <v>43</v>
      </c>
      <c r="C166" s="9" t="s">
        <v>40</v>
      </c>
      <c r="D166" s="9">
        <v>9467</v>
      </c>
      <c r="E166" s="11" t="s">
        <v>106</v>
      </c>
      <c r="F166" s="11" t="str">
        <f t="shared" si="2"/>
        <v>No</v>
      </c>
    </row>
    <row r="167" spans="1:6" x14ac:dyDescent="0.3">
      <c r="A167" s="9" t="s">
        <v>4</v>
      </c>
      <c r="B167" s="9" t="s">
        <v>44</v>
      </c>
      <c r="C167" s="9" t="s">
        <v>40</v>
      </c>
      <c r="D167" s="9">
        <v>4534</v>
      </c>
      <c r="E167" s="11" t="s">
        <v>107</v>
      </c>
      <c r="F167" s="11" t="str">
        <f t="shared" si="2"/>
        <v>No</v>
      </c>
    </row>
    <row r="168" spans="1:6" x14ac:dyDescent="0.3">
      <c r="A168" s="9" t="s">
        <v>4</v>
      </c>
      <c r="B168" s="9" t="s">
        <v>45</v>
      </c>
      <c r="C168" s="9" t="s">
        <v>40</v>
      </c>
      <c r="D168" s="9">
        <v>4933</v>
      </c>
      <c r="E168" s="11" t="s">
        <v>107</v>
      </c>
      <c r="F168" s="11" t="str">
        <f t="shared" si="2"/>
        <v>No</v>
      </c>
    </row>
    <row r="169" spans="1:6" x14ac:dyDescent="0.3">
      <c r="A169" s="9" t="s">
        <v>4</v>
      </c>
      <c r="B169" s="9" t="s">
        <v>71</v>
      </c>
      <c r="C169" s="9" t="s">
        <v>40</v>
      </c>
      <c r="D169" s="9">
        <v>0</v>
      </c>
      <c r="E169" s="11" t="s">
        <v>105</v>
      </c>
      <c r="F169" s="11" t="str">
        <f t="shared" si="2"/>
        <v>Yes</v>
      </c>
    </row>
    <row r="170" spans="1:6" x14ac:dyDescent="0.3">
      <c r="A170" s="9" t="s">
        <v>4</v>
      </c>
      <c r="B170" s="9" t="s">
        <v>72</v>
      </c>
      <c r="C170" s="9" t="s">
        <v>40</v>
      </c>
      <c r="D170" s="9">
        <v>0</v>
      </c>
      <c r="E170" s="11" t="s">
        <v>105</v>
      </c>
      <c r="F170" s="11" t="str">
        <f t="shared" si="2"/>
        <v>Yes</v>
      </c>
    </row>
    <row r="171" spans="1:6" x14ac:dyDescent="0.3">
      <c r="A171" s="9" t="s">
        <v>4</v>
      </c>
      <c r="B171" s="9" t="s">
        <v>82</v>
      </c>
      <c r="C171" s="9" t="s">
        <v>40</v>
      </c>
      <c r="D171" s="9">
        <v>1793</v>
      </c>
      <c r="E171" s="11" t="s">
        <v>105</v>
      </c>
      <c r="F171" s="11" t="str">
        <f t="shared" si="2"/>
        <v>Yes</v>
      </c>
    </row>
    <row r="172" spans="1:6" x14ac:dyDescent="0.3">
      <c r="A172" s="9" t="s">
        <v>4</v>
      </c>
      <c r="B172" s="9" t="s">
        <v>81</v>
      </c>
      <c r="C172" s="9" t="s">
        <v>81</v>
      </c>
      <c r="D172" s="9">
        <v>28</v>
      </c>
      <c r="E172" s="11" t="s">
        <v>105</v>
      </c>
      <c r="F172" s="11" t="str">
        <f t="shared" si="2"/>
        <v>Yes</v>
      </c>
    </row>
    <row r="173" spans="1:6" x14ac:dyDescent="0.3">
      <c r="A173" s="9" t="s">
        <v>4</v>
      </c>
      <c r="B173" s="9" t="s">
        <v>73</v>
      </c>
      <c r="C173" s="9" t="s">
        <v>81</v>
      </c>
      <c r="D173" s="9">
        <v>0</v>
      </c>
      <c r="E173" s="11" t="s">
        <v>105</v>
      </c>
      <c r="F173" s="11" t="str">
        <f t="shared" si="2"/>
        <v>Yes</v>
      </c>
    </row>
    <row r="174" spans="1:6" x14ac:dyDescent="0.3">
      <c r="A174" s="9" t="s">
        <v>4</v>
      </c>
      <c r="B174" s="9" t="s">
        <v>80</v>
      </c>
      <c r="C174" s="9" t="s">
        <v>81</v>
      </c>
      <c r="D174" s="9">
        <v>0</v>
      </c>
      <c r="E174" s="11" t="s">
        <v>105</v>
      </c>
      <c r="F174" s="11" t="str">
        <f t="shared" si="2"/>
        <v>Yes</v>
      </c>
    </row>
    <row r="175" spans="1:6" x14ac:dyDescent="0.3">
      <c r="A175" s="9" t="s">
        <v>4</v>
      </c>
      <c r="B175" s="9" t="s">
        <v>79</v>
      </c>
      <c r="C175" s="9" t="s">
        <v>96</v>
      </c>
      <c r="D175" s="9">
        <v>902</v>
      </c>
      <c r="E175" s="11" t="s">
        <v>106</v>
      </c>
      <c r="F175" s="11" t="str">
        <f t="shared" si="2"/>
        <v>Yes</v>
      </c>
    </row>
    <row r="176" spans="1:6" x14ac:dyDescent="0.3">
      <c r="A176" s="9" t="s">
        <v>4</v>
      </c>
      <c r="B176" s="9" t="s">
        <v>46</v>
      </c>
      <c r="C176" s="9" t="s">
        <v>96</v>
      </c>
      <c r="D176" s="9">
        <v>902</v>
      </c>
      <c r="E176" s="11" t="s">
        <v>107</v>
      </c>
      <c r="F176" s="11" t="str">
        <f t="shared" si="2"/>
        <v>No</v>
      </c>
    </row>
    <row r="177" spans="1:6" x14ac:dyDescent="0.3">
      <c r="A177" s="9" t="s">
        <v>4</v>
      </c>
      <c r="B177" s="9" t="s">
        <v>47</v>
      </c>
      <c r="C177" s="9" t="s">
        <v>96</v>
      </c>
      <c r="D177" s="9">
        <v>0</v>
      </c>
      <c r="E177" s="11" t="s">
        <v>107</v>
      </c>
      <c r="F177" s="11" t="str">
        <f t="shared" si="2"/>
        <v>No</v>
      </c>
    </row>
    <row r="178" spans="1:6" x14ac:dyDescent="0.3">
      <c r="A178" s="9" t="s">
        <v>4</v>
      </c>
      <c r="B178" s="9" t="s">
        <v>48</v>
      </c>
      <c r="C178" s="9" t="s">
        <v>97</v>
      </c>
      <c r="D178" s="9">
        <v>47</v>
      </c>
      <c r="E178" s="11" t="s">
        <v>106</v>
      </c>
      <c r="F178" s="11" t="str">
        <f t="shared" si="2"/>
        <v>Yes</v>
      </c>
    </row>
    <row r="179" spans="1:6" x14ac:dyDescent="0.3">
      <c r="A179" s="9" t="s">
        <v>4</v>
      </c>
      <c r="B179" s="9" t="s">
        <v>49</v>
      </c>
      <c r="C179" s="9" t="s">
        <v>97</v>
      </c>
      <c r="D179" s="9">
        <v>30</v>
      </c>
      <c r="E179" s="11" t="s">
        <v>107</v>
      </c>
      <c r="F179" s="11" t="str">
        <f t="shared" si="2"/>
        <v>No</v>
      </c>
    </row>
    <row r="180" spans="1:6" x14ac:dyDescent="0.3">
      <c r="A180" s="9" t="s">
        <v>4</v>
      </c>
      <c r="B180" s="9" t="s">
        <v>50</v>
      </c>
      <c r="C180" s="9" t="s">
        <v>97</v>
      </c>
      <c r="D180" s="9">
        <v>17</v>
      </c>
      <c r="E180" s="11" t="s">
        <v>107</v>
      </c>
      <c r="F180" s="11" t="str">
        <f t="shared" si="2"/>
        <v>No</v>
      </c>
    </row>
    <row r="181" spans="1:6" x14ac:dyDescent="0.3">
      <c r="A181" s="9" t="s">
        <v>4</v>
      </c>
      <c r="B181" s="9" t="s">
        <v>51</v>
      </c>
      <c r="C181" s="9" t="s">
        <v>99</v>
      </c>
      <c r="D181" s="9">
        <v>472</v>
      </c>
      <c r="E181" s="11" t="s">
        <v>106</v>
      </c>
      <c r="F181" s="11" t="str">
        <f t="shared" si="2"/>
        <v>Yes</v>
      </c>
    </row>
    <row r="182" spans="1:6" x14ac:dyDescent="0.3">
      <c r="A182" s="9" t="s">
        <v>4</v>
      </c>
      <c r="B182" s="9" t="s">
        <v>52</v>
      </c>
      <c r="C182" s="9" t="s">
        <v>99</v>
      </c>
      <c r="D182" s="9">
        <v>465</v>
      </c>
      <c r="E182" s="11" t="s">
        <v>107</v>
      </c>
      <c r="F182" s="11" t="str">
        <f t="shared" si="2"/>
        <v>No</v>
      </c>
    </row>
    <row r="183" spans="1:6" x14ac:dyDescent="0.3">
      <c r="A183" s="9" t="s">
        <v>4</v>
      </c>
      <c r="B183" s="9" t="s">
        <v>53</v>
      </c>
      <c r="C183" s="9" t="s">
        <v>99</v>
      </c>
      <c r="D183" s="9">
        <v>7</v>
      </c>
      <c r="E183" s="11" t="s">
        <v>107</v>
      </c>
      <c r="F183" s="11" t="str">
        <f t="shared" si="2"/>
        <v>No</v>
      </c>
    </row>
    <row r="184" spans="1:6" x14ac:dyDescent="0.3">
      <c r="A184" s="9" t="s">
        <v>4</v>
      </c>
      <c r="B184" s="9" t="s">
        <v>54</v>
      </c>
      <c r="C184" s="9" t="s">
        <v>98</v>
      </c>
      <c r="D184" s="9">
        <v>47</v>
      </c>
      <c r="E184" s="11" t="s">
        <v>106</v>
      </c>
      <c r="F184" s="11" t="str">
        <f t="shared" si="2"/>
        <v>Yes</v>
      </c>
    </row>
    <row r="185" spans="1:6" x14ac:dyDescent="0.3">
      <c r="A185" s="9" t="s">
        <v>4</v>
      </c>
      <c r="B185" s="9" t="s">
        <v>55</v>
      </c>
      <c r="C185" s="9" t="s">
        <v>98</v>
      </c>
      <c r="D185" s="9">
        <v>47</v>
      </c>
      <c r="E185" s="11" t="s">
        <v>107</v>
      </c>
      <c r="F185" s="11" t="str">
        <f t="shared" si="2"/>
        <v>No</v>
      </c>
    </row>
    <row r="186" spans="1:6" x14ac:dyDescent="0.3">
      <c r="A186" s="9" t="s">
        <v>4</v>
      </c>
      <c r="B186" s="9" t="s">
        <v>56</v>
      </c>
      <c r="C186" s="9" t="s">
        <v>98</v>
      </c>
      <c r="D186" s="9">
        <v>0</v>
      </c>
      <c r="E186" s="11" t="s">
        <v>107</v>
      </c>
      <c r="F186" s="11" t="str">
        <f t="shared" si="2"/>
        <v>No</v>
      </c>
    </row>
    <row r="187" spans="1:6" x14ac:dyDescent="0.3">
      <c r="A187" s="9" t="s">
        <v>4</v>
      </c>
      <c r="B187" s="9" t="s">
        <v>74</v>
      </c>
      <c r="C187" s="9" t="s">
        <v>74</v>
      </c>
      <c r="D187" s="9">
        <v>3665</v>
      </c>
      <c r="E187" s="11" t="s">
        <v>105</v>
      </c>
      <c r="F187" s="11" t="str">
        <f t="shared" si="2"/>
        <v>Yes</v>
      </c>
    </row>
    <row r="188" spans="1:6" x14ac:dyDescent="0.3">
      <c r="A188" s="9" t="s">
        <v>4</v>
      </c>
      <c r="B188" s="9" t="s">
        <v>57</v>
      </c>
      <c r="C188" s="9" t="s">
        <v>100</v>
      </c>
      <c r="D188" s="9">
        <v>58</v>
      </c>
      <c r="E188" s="11" t="s">
        <v>106</v>
      </c>
      <c r="F188" s="11" t="str">
        <f t="shared" si="2"/>
        <v>Yes</v>
      </c>
    </row>
    <row r="189" spans="1:6" x14ac:dyDescent="0.3">
      <c r="A189" s="9" t="s">
        <v>4</v>
      </c>
      <c r="B189" s="9" t="s">
        <v>76</v>
      </c>
      <c r="C189" s="9" t="s">
        <v>100</v>
      </c>
      <c r="D189" s="9">
        <v>29</v>
      </c>
      <c r="E189" s="11" t="s">
        <v>107</v>
      </c>
      <c r="F189" s="11" t="str">
        <f t="shared" si="2"/>
        <v>No</v>
      </c>
    </row>
    <row r="190" spans="1:6" x14ac:dyDescent="0.3">
      <c r="A190" s="9" t="s">
        <v>4</v>
      </c>
      <c r="B190" s="9" t="s">
        <v>58</v>
      </c>
      <c r="C190" s="9" t="s">
        <v>100</v>
      </c>
      <c r="D190" s="9">
        <v>11</v>
      </c>
      <c r="E190" s="11" t="s">
        <v>107</v>
      </c>
      <c r="F190" s="11" t="str">
        <f t="shared" si="2"/>
        <v>No</v>
      </c>
    </row>
    <row r="191" spans="1:6" x14ac:dyDescent="0.3">
      <c r="A191" s="9" t="s">
        <v>4</v>
      </c>
      <c r="B191" s="9" t="s">
        <v>59</v>
      </c>
      <c r="C191" s="9" t="s">
        <v>100</v>
      </c>
      <c r="D191" s="9">
        <v>2</v>
      </c>
      <c r="E191" s="11" t="s">
        <v>107</v>
      </c>
      <c r="F191" s="11" t="str">
        <f t="shared" si="2"/>
        <v>No</v>
      </c>
    </row>
    <row r="192" spans="1:6" x14ac:dyDescent="0.3">
      <c r="A192" s="9" t="s">
        <v>4</v>
      </c>
      <c r="B192" s="9" t="s">
        <v>60</v>
      </c>
      <c r="C192" s="9" t="s">
        <v>100</v>
      </c>
      <c r="D192" s="9">
        <v>0</v>
      </c>
      <c r="E192" s="11" t="s">
        <v>107</v>
      </c>
      <c r="F192" s="11" t="str">
        <f t="shared" si="2"/>
        <v>No</v>
      </c>
    </row>
    <row r="193" spans="1:6" x14ac:dyDescent="0.3">
      <c r="A193" s="9" t="s">
        <v>4</v>
      </c>
      <c r="B193" s="9" t="s">
        <v>61</v>
      </c>
      <c r="C193" s="9" t="s">
        <v>100</v>
      </c>
      <c r="D193" s="9">
        <v>16</v>
      </c>
      <c r="E193" s="11" t="s">
        <v>107</v>
      </c>
      <c r="F193" s="11" t="str">
        <f t="shared" si="2"/>
        <v>No</v>
      </c>
    </row>
    <row r="194" spans="1:6" x14ac:dyDescent="0.3">
      <c r="A194" s="9" t="s">
        <v>4</v>
      </c>
      <c r="B194" s="9" t="s">
        <v>78</v>
      </c>
      <c r="C194" s="9" t="s">
        <v>95</v>
      </c>
      <c r="D194" s="9">
        <v>1</v>
      </c>
      <c r="E194" s="11" t="s">
        <v>105</v>
      </c>
      <c r="F194" s="11" t="str">
        <f t="shared" ref="F194:F257" si="3">IF(E194="Standalone","Yes",IF(AND(E194="Total",OR(B194="Kidnapping &amp; Abduction (Total)",B194="Rape (Total)",B194="Attempt to Rape (Total)",B194="Assault to Outrage Modesty (Total)",B194="Insult to Modesty (Total)",B194="Immoral Traffic (Prevention) Act (Total)",B194="Women-Centric Cyber Crime (Total)",B194="POCSO (Protection of Children from Sexual Offences Act) (Total)")),"Yes","No"))</f>
        <v>Yes</v>
      </c>
    </row>
    <row r="195" spans="1:6" x14ac:dyDescent="0.3">
      <c r="A195" s="9" t="s">
        <v>4</v>
      </c>
      <c r="B195" s="9" t="s">
        <v>62</v>
      </c>
      <c r="C195" s="9" t="s">
        <v>101</v>
      </c>
      <c r="D195" s="9">
        <v>100</v>
      </c>
      <c r="E195" s="11" t="s">
        <v>106</v>
      </c>
      <c r="F195" s="11" t="str">
        <f t="shared" si="3"/>
        <v>Yes</v>
      </c>
    </row>
    <row r="196" spans="1:6" x14ac:dyDescent="0.3">
      <c r="A196" s="9" t="s">
        <v>4</v>
      </c>
      <c r="B196" s="9" t="s">
        <v>63</v>
      </c>
      <c r="C196" s="9" t="s">
        <v>101</v>
      </c>
      <c r="D196" s="9">
        <v>20</v>
      </c>
      <c r="E196" s="11" t="s">
        <v>107</v>
      </c>
      <c r="F196" s="11" t="str">
        <f t="shared" si="3"/>
        <v>No</v>
      </c>
    </row>
    <row r="197" spans="1:6" x14ac:dyDescent="0.3">
      <c r="A197" s="9" t="s">
        <v>4</v>
      </c>
      <c r="B197" s="9" t="s">
        <v>64</v>
      </c>
      <c r="C197" s="9" t="s">
        <v>101</v>
      </c>
      <c r="D197" s="9">
        <v>80</v>
      </c>
      <c r="E197" s="11" t="s">
        <v>107</v>
      </c>
      <c r="F197" s="11" t="str">
        <f t="shared" si="3"/>
        <v>No</v>
      </c>
    </row>
    <row r="198" spans="1:6" x14ac:dyDescent="0.3">
      <c r="A198" s="9" t="s">
        <v>4</v>
      </c>
      <c r="B198" s="9" t="s">
        <v>77</v>
      </c>
      <c r="C198" s="9" t="s">
        <v>102</v>
      </c>
      <c r="D198" s="9">
        <v>2307</v>
      </c>
      <c r="E198" s="11" t="s">
        <v>106</v>
      </c>
      <c r="F198" s="11" t="str">
        <f t="shared" si="3"/>
        <v>Yes</v>
      </c>
    </row>
    <row r="199" spans="1:6" x14ac:dyDescent="0.3">
      <c r="A199" s="9" t="s">
        <v>4</v>
      </c>
      <c r="B199" s="9" t="s">
        <v>65</v>
      </c>
      <c r="C199" s="9" t="s">
        <v>102</v>
      </c>
      <c r="D199" s="9">
        <v>925</v>
      </c>
      <c r="E199" s="11" t="s">
        <v>107</v>
      </c>
      <c r="F199" s="11" t="str">
        <f t="shared" si="3"/>
        <v>No</v>
      </c>
    </row>
    <row r="200" spans="1:6" x14ac:dyDescent="0.3">
      <c r="A200" s="9" t="s">
        <v>4</v>
      </c>
      <c r="B200" s="9" t="s">
        <v>66</v>
      </c>
      <c r="C200" s="9" t="s">
        <v>102</v>
      </c>
      <c r="D200" s="9">
        <v>844</v>
      </c>
      <c r="E200" s="11" t="s">
        <v>107</v>
      </c>
      <c r="F200" s="11" t="str">
        <f t="shared" si="3"/>
        <v>No</v>
      </c>
    </row>
    <row r="201" spans="1:6" x14ac:dyDescent="0.3">
      <c r="A201" s="9" t="s">
        <v>4</v>
      </c>
      <c r="B201" s="9" t="s">
        <v>67</v>
      </c>
      <c r="C201" s="9" t="s">
        <v>102</v>
      </c>
      <c r="D201" s="9">
        <v>190</v>
      </c>
      <c r="E201" s="11" t="s">
        <v>107</v>
      </c>
      <c r="F201" s="11" t="str">
        <f t="shared" si="3"/>
        <v>No</v>
      </c>
    </row>
    <row r="202" spans="1:6" x14ac:dyDescent="0.3">
      <c r="A202" s="9" t="s">
        <v>4</v>
      </c>
      <c r="B202" s="9" t="s">
        <v>68</v>
      </c>
      <c r="C202" s="9" t="s">
        <v>102</v>
      </c>
      <c r="D202" s="9">
        <v>345</v>
      </c>
      <c r="E202" s="11" t="s">
        <v>107</v>
      </c>
      <c r="F202" s="11" t="str">
        <f t="shared" si="3"/>
        <v>No</v>
      </c>
    </row>
    <row r="203" spans="1:6" x14ac:dyDescent="0.3">
      <c r="A203" s="9" t="s">
        <v>4</v>
      </c>
      <c r="B203" s="9" t="s">
        <v>69</v>
      </c>
      <c r="C203" s="9" t="s">
        <v>102</v>
      </c>
      <c r="D203" s="9">
        <v>0</v>
      </c>
      <c r="E203" s="11" t="s">
        <v>107</v>
      </c>
      <c r="F203" s="11" t="str">
        <f t="shared" si="3"/>
        <v>No</v>
      </c>
    </row>
    <row r="204" spans="1:6" x14ac:dyDescent="0.3">
      <c r="A204" s="9" t="s">
        <v>4</v>
      </c>
      <c r="B204" s="9" t="s">
        <v>70</v>
      </c>
      <c r="C204" s="9" t="s">
        <v>102</v>
      </c>
      <c r="D204" s="9">
        <v>3</v>
      </c>
      <c r="E204" s="11" t="s">
        <v>107</v>
      </c>
      <c r="F204" s="11" t="str">
        <f t="shared" si="3"/>
        <v>No</v>
      </c>
    </row>
    <row r="205" spans="1:6" x14ac:dyDescent="0.3">
      <c r="A205" s="9" t="s">
        <v>4</v>
      </c>
      <c r="B205" s="9" t="s">
        <v>75</v>
      </c>
      <c r="C205" s="9" t="s">
        <v>103</v>
      </c>
      <c r="D205" s="9">
        <v>2</v>
      </c>
      <c r="E205" s="11" t="s">
        <v>105</v>
      </c>
      <c r="F205" s="11" t="str">
        <f t="shared" si="3"/>
        <v>Yes</v>
      </c>
    </row>
    <row r="206" spans="1:6" x14ac:dyDescent="0.3">
      <c r="A206" s="9" t="s">
        <v>5</v>
      </c>
      <c r="B206" s="9" t="s">
        <v>88</v>
      </c>
      <c r="C206" s="9" t="s">
        <v>92</v>
      </c>
      <c r="D206" s="9">
        <v>5</v>
      </c>
      <c r="E206" s="11" t="s">
        <v>105</v>
      </c>
      <c r="F206" s="11" t="str">
        <f t="shared" si="3"/>
        <v>Yes</v>
      </c>
    </row>
    <row r="207" spans="1:6" x14ac:dyDescent="0.3">
      <c r="A207" s="9" t="s">
        <v>5</v>
      </c>
      <c r="B207" s="9" t="s">
        <v>38</v>
      </c>
      <c r="C207" s="9" t="s">
        <v>93</v>
      </c>
      <c r="D207" s="9">
        <v>46</v>
      </c>
      <c r="E207" s="11" t="s">
        <v>105</v>
      </c>
      <c r="F207" s="11" t="str">
        <f t="shared" si="3"/>
        <v>Yes</v>
      </c>
    </row>
    <row r="208" spans="1:6" x14ac:dyDescent="0.3">
      <c r="A208" s="9" t="s">
        <v>5</v>
      </c>
      <c r="B208" s="9" t="s">
        <v>87</v>
      </c>
      <c r="C208" s="9" t="s">
        <v>94</v>
      </c>
      <c r="D208" s="9">
        <v>122</v>
      </c>
      <c r="E208" s="11" t="s">
        <v>105</v>
      </c>
      <c r="F208" s="11" t="str">
        <f t="shared" si="3"/>
        <v>Yes</v>
      </c>
    </row>
    <row r="209" spans="1:6" x14ac:dyDescent="0.3">
      <c r="A209" s="9" t="s">
        <v>5</v>
      </c>
      <c r="B209" s="9" t="s">
        <v>86</v>
      </c>
      <c r="C209" s="9" t="s">
        <v>86</v>
      </c>
      <c r="D209" s="9">
        <v>5</v>
      </c>
      <c r="E209" s="11" t="s">
        <v>105</v>
      </c>
      <c r="F209" s="11" t="str">
        <f t="shared" si="3"/>
        <v>Yes</v>
      </c>
    </row>
    <row r="210" spans="1:6" x14ac:dyDescent="0.3">
      <c r="A210" s="9" t="s">
        <v>5</v>
      </c>
      <c r="B210" s="9" t="s">
        <v>85</v>
      </c>
      <c r="C210" s="9" t="s">
        <v>85</v>
      </c>
      <c r="D210" s="9">
        <v>1</v>
      </c>
      <c r="E210" s="11" t="s">
        <v>105</v>
      </c>
      <c r="F210" s="11" t="str">
        <f t="shared" si="3"/>
        <v>Yes</v>
      </c>
    </row>
    <row r="211" spans="1:6" x14ac:dyDescent="0.3">
      <c r="A211" s="9" t="s">
        <v>5</v>
      </c>
      <c r="B211" s="9" t="s">
        <v>84</v>
      </c>
      <c r="C211" s="9" t="s">
        <v>85</v>
      </c>
      <c r="D211" s="9">
        <v>0</v>
      </c>
      <c r="E211" s="11" t="s">
        <v>105</v>
      </c>
      <c r="F211" s="11" t="str">
        <f t="shared" si="3"/>
        <v>Yes</v>
      </c>
    </row>
    <row r="212" spans="1:6" x14ac:dyDescent="0.3">
      <c r="A212" s="9" t="s">
        <v>5</v>
      </c>
      <c r="B212" s="9" t="s">
        <v>83</v>
      </c>
      <c r="C212" s="9" t="s">
        <v>95</v>
      </c>
      <c r="D212" s="9">
        <v>755</v>
      </c>
      <c r="E212" s="11" t="s">
        <v>105</v>
      </c>
      <c r="F212" s="11" t="str">
        <f t="shared" si="3"/>
        <v>Yes</v>
      </c>
    </row>
    <row r="213" spans="1:6" x14ac:dyDescent="0.3">
      <c r="A213" s="9" t="s">
        <v>5</v>
      </c>
      <c r="B213" s="9" t="s">
        <v>39</v>
      </c>
      <c r="C213" s="9" t="s">
        <v>40</v>
      </c>
      <c r="D213" s="9">
        <v>2440</v>
      </c>
      <c r="E213" s="11" t="s">
        <v>106</v>
      </c>
      <c r="F213" s="11" t="str">
        <f t="shared" si="3"/>
        <v>Yes</v>
      </c>
    </row>
    <row r="214" spans="1:6" x14ac:dyDescent="0.3">
      <c r="A214" s="9" t="s">
        <v>5</v>
      </c>
      <c r="B214" s="9" t="s">
        <v>40</v>
      </c>
      <c r="C214" s="9" t="s">
        <v>40</v>
      </c>
      <c r="D214" s="9">
        <v>2345</v>
      </c>
      <c r="E214" s="11" t="s">
        <v>107</v>
      </c>
      <c r="F214" s="11" t="str">
        <f t="shared" si="3"/>
        <v>No</v>
      </c>
    </row>
    <row r="215" spans="1:6" x14ac:dyDescent="0.3">
      <c r="A215" s="9" t="s">
        <v>5</v>
      </c>
      <c r="B215" s="9" t="s">
        <v>41</v>
      </c>
      <c r="C215" s="9" t="s">
        <v>40</v>
      </c>
      <c r="D215" s="9">
        <v>0</v>
      </c>
      <c r="E215" s="11" t="s">
        <v>107</v>
      </c>
      <c r="F215" s="11" t="str">
        <f t="shared" si="3"/>
        <v>No</v>
      </c>
    </row>
    <row r="216" spans="1:6" x14ac:dyDescent="0.3">
      <c r="A216" s="9" t="s">
        <v>5</v>
      </c>
      <c r="B216" s="9" t="s">
        <v>42</v>
      </c>
      <c r="C216" s="9" t="s">
        <v>40</v>
      </c>
      <c r="D216" s="9">
        <v>0</v>
      </c>
      <c r="E216" s="11" t="s">
        <v>107</v>
      </c>
      <c r="F216" s="11" t="str">
        <f t="shared" si="3"/>
        <v>No</v>
      </c>
    </row>
    <row r="217" spans="1:6" x14ac:dyDescent="0.3">
      <c r="A217" s="9" t="s">
        <v>5</v>
      </c>
      <c r="B217" s="9" t="s">
        <v>43</v>
      </c>
      <c r="C217" s="9" t="s">
        <v>40</v>
      </c>
      <c r="D217" s="9">
        <v>77</v>
      </c>
      <c r="E217" s="11" t="s">
        <v>106</v>
      </c>
      <c r="F217" s="11" t="str">
        <f t="shared" si="3"/>
        <v>No</v>
      </c>
    </row>
    <row r="218" spans="1:6" x14ac:dyDescent="0.3">
      <c r="A218" s="9" t="s">
        <v>5</v>
      </c>
      <c r="B218" s="9" t="s">
        <v>44</v>
      </c>
      <c r="C218" s="9" t="s">
        <v>40</v>
      </c>
      <c r="D218" s="9">
        <v>1</v>
      </c>
      <c r="E218" s="11" t="s">
        <v>107</v>
      </c>
      <c r="F218" s="11" t="str">
        <f t="shared" si="3"/>
        <v>No</v>
      </c>
    </row>
    <row r="219" spans="1:6" x14ac:dyDescent="0.3">
      <c r="A219" s="9" t="s">
        <v>5</v>
      </c>
      <c r="B219" s="9" t="s">
        <v>45</v>
      </c>
      <c r="C219" s="9" t="s">
        <v>40</v>
      </c>
      <c r="D219" s="9">
        <v>76</v>
      </c>
      <c r="E219" s="11" t="s">
        <v>107</v>
      </c>
      <c r="F219" s="11" t="str">
        <f t="shared" si="3"/>
        <v>No</v>
      </c>
    </row>
    <row r="220" spans="1:6" x14ac:dyDescent="0.3">
      <c r="A220" s="9" t="s">
        <v>5</v>
      </c>
      <c r="B220" s="9" t="s">
        <v>71</v>
      </c>
      <c r="C220" s="9" t="s">
        <v>40</v>
      </c>
      <c r="D220" s="9">
        <v>1</v>
      </c>
      <c r="E220" s="11" t="s">
        <v>105</v>
      </c>
      <c r="F220" s="11" t="str">
        <f t="shared" si="3"/>
        <v>Yes</v>
      </c>
    </row>
    <row r="221" spans="1:6" x14ac:dyDescent="0.3">
      <c r="A221" s="9" t="s">
        <v>5</v>
      </c>
      <c r="B221" s="9" t="s">
        <v>72</v>
      </c>
      <c r="C221" s="9" t="s">
        <v>40</v>
      </c>
      <c r="D221" s="9">
        <v>0</v>
      </c>
      <c r="E221" s="11" t="s">
        <v>105</v>
      </c>
      <c r="F221" s="11" t="str">
        <f t="shared" si="3"/>
        <v>Yes</v>
      </c>
    </row>
    <row r="222" spans="1:6" x14ac:dyDescent="0.3">
      <c r="A222" s="9" t="s">
        <v>5</v>
      </c>
      <c r="B222" s="9" t="s">
        <v>82</v>
      </c>
      <c r="C222" s="9" t="s">
        <v>40</v>
      </c>
      <c r="D222" s="9">
        <v>17</v>
      </c>
      <c r="E222" s="11" t="s">
        <v>105</v>
      </c>
      <c r="F222" s="11" t="str">
        <f t="shared" si="3"/>
        <v>Yes</v>
      </c>
    </row>
    <row r="223" spans="1:6" x14ac:dyDescent="0.3">
      <c r="A223" s="9" t="s">
        <v>5</v>
      </c>
      <c r="B223" s="9" t="s">
        <v>81</v>
      </c>
      <c r="C223" s="9" t="s">
        <v>81</v>
      </c>
      <c r="D223" s="9">
        <v>14</v>
      </c>
      <c r="E223" s="11" t="s">
        <v>105</v>
      </c>
      <c r="F223" s="11" t="str">
        <f t="shared" si="3"/>
        <v>Yes</v>
      </c>
    </row>
    <row r="224" spans="1:6" x14ac:dyDescent="0.3">
      <c r="A224" s="9" t="s">
        <v>5</v>
      </c>
      <c r="B224" s="9" t="s">
        <v>73</v>
      </c>
      <c r="C224" s="9" t="s">
        <v>81</v>
      </c>
      <c r="D224" s="9">
        <v>0</v>
      </c>
      <c r="E224" s="11" t="s">
        <v>105</v>
      </c>
      <c r="F224" s="11" t="str">
        <f t="shared" si="3"/>
        <v>Yes</v>
      </c>
    </row>
    <row r="225" spans="1:6" x14ac:dyDescent="0.3">
      <c r="A225" s="9" t="s">
        <v>5</v>
      </c>
      <c r="B225" s="9" t="s">
        <v>80</v>
      </c>
      <c r="C225" s="9" t="s">
        <v>81</v>
      </c>
      <c r="D225" s="9">
        <v>0</v>
      </c>
      <c r="E225" s="11" t="s">
        <v>105</v>
      </c>
      <c r="F225" s="11" t="str">
        <f t="shared" si="3"/>
        <v>Yes</v>
      </c>
    </row>
    <row r="226" spans="1:6" x14ac:dyDescent="0.3">
      <c r="A226" s="9" t="s">
        <v>5</v>
      </c>
      <c r="B226" s="9" t="s">
        <v>79</v>
      </c>
      <c r="C226" s="9" t="s">
        <v>96</v>
      </c>
      <c r="D226" s="9">
        <v>1171</v>
      </c>
      <c r="E226" s="11" t="s">
        <v>106</v>
      </c>
      <c r="F226" s="11" t="str">
        <f t="shared" si="3"/>
        <v>Yes</v>
      </c>
    </row>
    <row r="227" spans="1:6" x14ac:dyDescent="0.3">
      <c r="A227" s="9" t="s">
        <v>5</v>
      </c>
      <c r="B227" s="9" t="s">
        <v>46</v>
      </c>
      <c r="C227" s="9" t="s">
        <v>96</v>
      </c>
      <c r="D227" s="9">
        <v>1171</v>
      </c>
      <c r="E227" s="11" t="s">
        <v>107</v>
      </c>
      <c r="F227" s="11" t="str">
        <f t="shared" si="3"/>
        <v>No</v>
      </c>
    </row>
    <row r="228" spans="1:6" x14ac:dyDescent="0.3">
      <c r="A228" s="9" t="s">
        <v>5</v>
      </c>
      <c r="B228" s="9" t="s">
        <v>47</v>
      </c>
      <c r="C228" s="9" t="s">
        <v>96</v>
      </c>
      <c r="D228" s="9">
        <v>0</v>
      </c>
      <c r="E228" s="11" t="s">
        <v>107</v>
      </c>
      <c r="F228" s="11" t="str">
        <f t="shared" si="3"/>
        <v>No</v>
      </c>
    </row>
    <row r="229" spans="1:6" x14ac:dyDescent="0.3">
      <c r="A229" s="9" t="s">
        <v>5</v>
      </c>
      <c r="B229" s="9" t="s">
        <v>48</v>
      </c>
      <c r="C229" s="9" t="s">
        <v>97</v>
      </c>
      <c r="D229" s="9">
        <v>5</v>
      </c>
      <c r="E229" s="11" t="s">
        <v>106</v>
      </c>
      <c r="F229" s="11" t="str">
        <f t="shared" si="3"/>
        <v>Yes</v>
      </c>
    </row>
    <row r="230" spans="1:6" x14ac:dyDescent="0.3">
      <c r="A230" s="9" t="s">
        <v>5</v>
      </c>
      <c r="B230" s="9" t="s">
        <v>49</v>
      </c>
      <c r="C230" s="9" t="s">
        <v>97</v>
      </c>
      <c r="D230" s="9">
        <v>1</v>
      </c>
      <c r="E230" s="11" t="s">
        <v>107</v>
      </c>
      <c r="F230" s="11" t="str">
        <f t="shared" si="3"/>
        <v>No</v>
      </c>
    </row>
    <row r="231" spans="1:6" x14ac:dyDescent="0.3">
      <c r="A231" s="9" t="s">
        <v>5</v>
      </c>
      <c r="B231" s="9" t="s">
        <v>50</v>
      </c>
      <c r="C231" s="9" t="s">
        <v>97</v>
      </c>
      <c r="D231" s="9">
        <v>4</v>
      </c>
      <c r="E231" s="11" t="s">
        <v>107</v>
      </c>
      <c r="F231" s="11" t="str">
        <f t="shared" si="3"/>
        <v>No</v>
      </c>
    </row>
    <row r="232" spans="1:6" x14ac:dyDescent="0.3">
      <c r="A232" s="9" t="s">
        <v>5</v>
      </c>
      <c r="B232" s="9" t="s">
        <v>51</v>
      </c>
      <c r="C232" s="9" t="s">
        <v>99</v>
      </c>
      <c r="D232" s="9">
        <v>1034</v>
      </c>
      <c r="E232" s="11" t="s">
        <v>106</v>
      </c>
      <c r="F232" s="11" t="str">
        <f t="shared" si="3"/>
        <v>Yes</v>
      </c>
    </row>
    <row r="233" spans="1:6" x14ac:dyDescent="0.3">
      <c r="A233" s="9" t="s">
        <v>5</v>
      </c>
      <c r="B233" s="9" t="s">
        <v>52</v>
      </c>
      <c r="C233" s="9" t="s">
        <v>99</v>
      </c>
      <c r="D233" s="9">
        <v>1032</v>
      </c>
      <c r="E233" s="11" t="s">
        <v>107</v>
      </c>
      <c r="F233" s="11" t="str">
        <f t="shared" si="3"/>
        <v>No</v>
      </c>
    </row>
    <row r="234" spans="1:6" x14ac:dyDescent="0.3">
      <c r="A234" s="9" t="s">
        <v>5</v>
      </c>
      <c r="B234" s="9" t="s">
        <v>53</v>
      </c>
      <c r="C234" s="9" t="s">
        <v>99</v>
      </c>
      <c r="D234" s="9">
        <v>2</v>
      </c>
      <c r="E234" s="11" t="s">
        <v>107</v>
      </c>
      <c r="F234" s="11" t="str">
        <f t="shared" si="3"/>
        <v>No</v>
      </c>
    </row>
    <row r="235" spans="1:6" x14ac:dyDescent="0.3">
      <c r="A235" s="9" t="s">
        <v>5</v>
      </c>
      <c r="B235" s="9" t="s">
        <v>54</v>
      </c>
      <c r="C235" s="9" t="s">
        <v>98</v>
      </c>
      <c r="D235" s="9">
        <v>241</v>
      </c>
      <c r="E235" s="11" t="s">
        <v>106</v>
      </c>
      <c r="F235" s="11" t="str">
        <f t="shared" si="3"/>
        <v>Yes</v>
      </c>
    </row>
    <row r="236" spans="1:6" x14ac:dyDescent="0.3">
      <c r="A236" s="9" t="s">
        <v>5</v>
      </c>
      <c r="B236" s="9" t="s">
        <v>55</v>
      </c>
      <c r="C236" s="9" t="s">
        <v>98</v>
      </c>
      <c r="D236" s="9">
        <v>239</v>
      </c>
      <c r="E236" s="11" t="s">
        <v>107</v>
      </c>
      <c r="F236" s="11" t="str">
        <f t="shared" si="3"/>
        <v>No</v>
      </c>
    </row>
    <row r="237" spans="1:6" x14ac:dyDescent="0.3">
      <c r="A237" s="9" t="s">
        <v>5</v>
      </c>
      <c r="B237" s="9" t="s">
        <v>56</v>
      </c>
      <c r="C237" s="9" t="s">
        <v>98</v>
      </c>
      <c r="D237" s="9">
        <v>2</v>
      </c>
      <c r="E237" s="11" t="s">
        <v>107</v>
      </c>
      <c r="F237" s="11" t="str">
        <f t="shared" si="3"/>
        <v>No</v>
      </c>
    </row>
    <row r="238" spans="1:6" x14ac:dyDescent="0.3">
      <c r="A238" s="9" t="s">
        <v>5</v>
      </c>
      <c r="B238" s="9" t="s">
        <v>74</v>
      </c>
      <c r="C238" s="9" t="s">
        <v>74</v>
      </c>
      <c r="D238" s="9">
        <v>8</v>
      </c>
      <c r="E238" s="11" t="s">
        <v>105</v>
      </c>
      <c r="F238" s="11" t="str">
        <f t="shared" si="3"/>
        <v>Yes</v>
      </c>
    </row>
    <row r="239" spans="1:6" x14ac:dyDescent="0.3">
      <c r="A239" s="9" t="s">
        <v>5</v>
      </c>
      <c r="B239" s="9" t="s">
        <v>57</v>
      </c>
      <c r="C239" s="9" t="s">
        <v>100</v>
      </c>
      <c r="D239" s="9">
        <v>12</v>
      </c>
      <c r="E239" s="11" t="s">
        <v>106</v>
      </c>
      <c r="F239" s="11" t="str">
        <f t="shared" si="3"/>
        <v>Yes</v>
      </c>
    </row>
    <row r="240" spans="1:6" x14ac:dyDescent="0.3">
      <c r="A240" s="9" t="s">
        <v>5</v>
      </c>
      <c r="B240" s="9" t="s">
        <v>76</v>
      </c>
      <c r="C240" s="9" t="s">
        <v>100</v>
      </c>
      <c r="D240" s="9">
        <v>0</v>
      </c>
      <c r="E240" s="11" t="s">
        <v>107</v>
      </c>
      <c r="F240" s="11" t="str">
        <f t="shared" si="3"/>
        <v>No</v>
      </c>
    </row>
    <row r="241" spans="1:6" x14ac:dyDescent="0.3">
      <c r="A241" s="9" t="s">
        <v>5</v>
      </c>
      <c r="B241" s="9" t="s">
        <v>58</v>
      </c>
      <c r="C241" s="9" t="s">
        <v>100</v>
      </c>
      <c r="D241" s="9">
        <v>0</v>
      </c>
      <c r="E241" s="11" t="s">
        <v>107</v>
      </c>
      <c r="F241" s="11" t="str">
        <f t="shared" si="3"/>
        <v>No</v>
      </c>
    </row>
    <row r="242" spans="1:6" x14ac:dyDescent="0.3">
      <c r="A242" s="9" t="s">
        <v>5</v>
      </c>
      <c r="B242" s="9" t="s">
        <v>59</v>
      </c>
      <c r="C242" s="9" t="s">
        <v>100</v>
      </c>
      <c r="D242" s="9">
        <v>11</v>
      </c>
      <c r="E242" s="11" t="s">
        <v>107</v>
      </c>
      <c r="F242" s="11" t="str">
        <f t="shared" si="3"/>
        <v>No</v>
      </c>
    </row>
    <row r="243" spans="1:6" x14ac:dyDescent="0.3">
      <c r="A243" s="9" t="s">
        <v>5</v>
      </c>
      <c r="B243" s="9" t="s">
        <v>60</v>
      </c>
      <c r="C243" s="9" t="s">
        <v>100</v>
      </c>
      <c r="D243" s="9">
        <v>0</v>
      </c>
      <c r="E243" s="11" t="s">
        <v>107</v>
      </c>
      <c r="F243" s="11" t="str">
        <f t="shared" si="3"/>
        <v>No</v>
      </c>
    </row>
    <row r="244" spans="1:6" x14ac:dyDescent="0.3">
      <c r="A244" s="9" t="s">
        <v>5</v>
      </c>
      <c r="B244" s="9" t="s">
        <v>61</v>
      </c>
      <c r="C244" s="9" t="s">
        <v>100</v>
      </c>
      <c r="D244" s="9">
        <v>1</v>
      </c>
      <c r="E244" s="11" t="s">
        <v>107</v>
      </c>
      <c r="F244" s="11" t="str">
        <f t="shared" si="3"/>
        <v>No</v>
      </c>
    </row>
    <row r="245" spans="1:6" x14ac:dyDescent="0.3">
      <c r="A245" s="9" t="s">
        <v>5</v>
      </c>
      <c r="B245" s="9" t="s">
        <v>78</v>
      </c>
      <c r="C245" s="9" t="s">
        <v>95</v>
      </c>
      <c r="D245" s="9">
        <v>0</v>
      </c>
      <c r="E245" s="11" t="s">
        <v>105</v>
      </c>
      <c r="F245" s="11" t="str">
        <f t="shared" si="3"/>
        <v>Yes</v>
      </c>
    </row>
    <row r="246" spans="1:6" x14ac:dyDescent="0.3">
      <c r="A246" s="9" t="s">
        <v>5</v>
      </c>
      <c r="B246" s="9" t="s">
        <v>62</v>
      </c>
      <c r="C246" s="9" t="s">
        <v>101</v>
      </c>
      <c r="D246" s="9">
        <v>198</v>
      </c>
      <c r="E246" s="11" t="s">
        <v>106</v>
      </c>
      <c r="F246" s="11" t="str">
        <f t="shared" si="3"/>
        <v>Yes</v>
      </c>
    </row>
    <row r="247" spans="1:6" x14ac:dyDescent="0.3">
      <c r="A247" s="9" t="s">
        <v>5</v>
      </c>
      <c r="B247" s="9" t="s">
        <v>63</v>
      </c>
      <c r="C247" s="9" t="s">
        <v>101</v>
      </c>
      <c r="D247" s="9">
        <v>195</v>
      </c>
      <c r="E247" s="11" t="s">
        <v>107</v>
      </c>
      <c r="F247" s="11" t="str">
        <f t="shared" si="3"/>
        <v>No</v>
      </c>
    </row>
    <row r="248" spans="1:6" x14ac:dyDescent="0.3">
      <c r="A248" s="9" t="s">
        <v>5</v>
      </c>
      <c r="B248" s="9" t="s">
        <v>64</v>
      </c>
      <c r="C248" s="9" t="s">
        <v>101</v>
      </c>
      <c r="D248" s="9">
        <v>3</v>
      </c>
      <c r="E248" s="11" t="s">
        <v>107</v>
      </c>
      <c r="F248" s="11" t="str">
        <f t="shared" si="3"/>
        <v>No</v>
      </c>
    </row>
    <row r="249" spans="1:6" x14ac:dyDescent="0.3">
      <c r="A249" s="9" t="s">
        <v>5</v>
      </c>
      <c r="B249" s="9" t="s">
        <v>77</v>
      </c>
      <c r="C249" s="9" t="s">
        <v>102</v>
      </c>
      <c r="D249" s="9">
        <v>1978</v>
      </c>
      <c r="E249" s="11" t="s">
        <v>106</v>
      </c>
      <c r="F249" s="11" t="str">
        <f t="shared" si="3"/>
        <v>Yes</v>
      </c>
    </row>
    <row r="250" spans="1:6" x14ac:dyDescent="0.3">
      <c r="A250" s="9" t="s">
        <v>5</v>
      </c>
      <c r="B250" s="9" t="s">
        <v>65</v>
      </c>
      <c r="C250" s="9" t="s">
        <v>102</v>
      </c>
      <c r="D250" s="9">
        <v>1503</v>
      </c>
      <c r="E250" s="11" t="s">
        <v>107</v>
      </c>
      <c r="F250" s="11" t="str">
        <f t="shared" si="3"/>
        <v>No</v>
      </c>
    </row>
    <row r="251" spans="1:6" x14ac:dyDescent="0.3">
      <c r="A251" s="9" t="s">
        <v>5</v>
      </c>
      <c r="B251" s="9" t="s">
        <v>66</v>
      </c>
      <c r="C251" s="9" t="s">
        <v>102</v>
      </c>
      <c r="D251" s="9">
        <v>441</v>
      </c>
      <c r="E251" s="11" t="s">
        <v>107</v>
      </c>
      <c r="F251" s="11" t="str">
        <f t="shared" si="3"/>
        <v>No</v>
      </c>
    </row>
    <row r="252" spans="1:6" x14ac:dyDescent="0.3">
      <c r="A252" s="9" t="s">
        <v>5</v>
      </c>
      <c r="B252" s="9" t="s">
        <v>67</v>
      </c>
      <c r="C252" s="9" t="s">
        <v>102</v>
      </c>
      <c r="D252" s="9">
        <v>25</v>
      </c>
      <c r="E252" s="11" t="s">
        <v>107</v>
      </c>
      <c r="F252" s="11" t="str">
        <f t="shared" si="3"/>
        <v>No</v>
      </c>
    </row>
    <row r="253" spans="1:6" x14ac:dyDescent="0.3">
      <c r="A253" s="9" t="s">
        <v>5</v>
      </c>
      <c r="B253" s="9" t="s">
        <v>68</v>
      </c>
      <c r="C253" s="9" t="s">
        <v>102</v>
      </c>
      <c r="D253" s="9">
        <v>6</v>
      </c>
      <c r="E253" s="11" t="s">
        <v>107</v>
      </c>
      <c r="F253" s="11" t="str">
        <f t="shared" si="3"/>
        <v>No</v>
      </c>
    </row>
    <row r="254" spans="1:6" x14ac:dyDescent="0.3">
      <c r="A254" s="9" t="s">
        <v>5</v>
      </c>
      <c r="B254" s="9" t="s">
        <v>69</v>
      </c>
      <c r="C254" s="9" t="s">
        <v>102</v>
      </c>
      <c r="D254" s="9">
        <v>2</v>
      </c>
      <c r="E254" s="11" t="s">
        <v>107</v>
      </c>
      <c r="F254" s="11" t="str">
        <f t="shared" si="3"/>
        <v>No</v>
      </c>
    </row>
    <row r="255" spans="1:6" x14ac:dyDescent="0.3">
      <c r="A255" s="9" t="s">
        <v>5</v>
      </c>
      <c r="B255" s="9" t="s">
        <v>70</v>
      </c>
      <c r="C255" s="9" t="s">
        <v>102</v>
      </c>
      <c r="D255" s="9">
        <v>1</v>
      </c>
      <c r="E255" s="11" t="s">
        <v>107</v>
      </c>
      <c r="F255" s="11" t="str">
        <f t="shared" si="3"/>
        <v>No</v>
      </c>
    </row>
    <row r="256" spans="1:6" x14ac:dyDescent="0.3">
      <c r="A256" s="9" t="s">
        <v>5</v>
      </c>
      <c r="B256" s="9" t="s">
        <v>75</v>
      </c>
      <c r="C256" s="9" t="s">
        <v>103</v>
      </c>
      <c r="D256" s="9">
        <v>0</v>
      </c>
      <c r="E256" s="11" t="s">
        <v>105</v>
      </c>
      <c r="F256" s="11" t="str">
        <f t="shared" si="3"/>
        <v>Yes</v>
      </c>
    </row>
    <row r="257" spans="1:6" x14ac:dyDescent="0.3">
      <c r="A257" s="9" t="s">
        <v>6</v>
      </c>
      <c r="B257" s="9" t="s">
        <v>88</v>
      </c>
      <c r="C257" s="9" t="s">
        <v>92</v>
      </c>
      <c r="D257" s="9">
        <v>0</v>
      </c>
      <c r="E257" s="11" t="s">
        <v>105</v>
      </c>
      <c r="F257" s="11" t="str">
        <f t="shared" si="3"/>
        <v>Yes</v>
      </c>
    </row>
    <row r="258" spans="1:6" x14ac:dyDescent="0.3">
      <c r="A258" s="9" t="s">
        <v>6</v>
      </c>
      <c r="B258" s="9" t="s">
        <v>38</v>
      </c>
      <c r="C258" s="9" t="s">
        <v>93</v>
      </c>
      <c r="D258" s="9">
        <v>1</v>
      </c>
      <c r="E258" s="11" t="s">
        <v>105</v>
      </c>
      <c r="F258" s="11" t="str">
        <f t="shared" ref="F258:F321" si="4">IF(E258="Standalone","Yes",IF(AND(E258="Total",OR(B258="Kidnapping &amp; Abduction (Total)",B258="Rape (Total)",B258="Attempt to Rape (Total)",B258="Assault to Outrage Modesty (Total)",B258="Insult to Modesty (Total)",B258="Immoral Traffic (Prevention) Act (Total)",B258="Women-Centric Cyber Crime (Total)",B258="POCSO (Protection of Children from Sexual Offences Act) (Total)")),"Yes","No"))</f>
        <v>Yes</v>
      </c>
    </row>
    <row r="259" spans="1:6" x14ac:dyDescent="0.3">
      <c r="A259" s="9" t="s">
        <v>6</v>
      </c>
      <c r="B259" s="9" t="s">
        <v>87</v>
      </c>
      <c r="C259" s="9" t="s">
        <v>94</v>
      </c>
      <c r="D259" s="9">
        <v>3</v>
      </c>
      <c r="E259" s="11" t="s">
        <v>105</v>
      </c>
      <c r="F259" s="11" t="str">
        <f t="shared" si="4"/>
        <v>Yes</v>
      </c>
    </row>
    <row r="260" spans="1:6" x14ac:dyDescent="0.3">
      <c r="A260" s="9" t="s">
        <v>6</v>
      </c>
      <c r="B260" s="9" t="s">
        <v>86</v>
      </c>
      <c r="C260" s="9" t="s">
        <v>86</v>
      </c>
      <c r="D260" s="9">
        <v>0</v>
      </c>
      <c r="E260" s="11" t="s">
        <v>105</v>
      </c>
      <c r="F260" s="11" t="str">
        <f t="shared" si="4"/>
        <v>Yes</v>
      </c>
    </row>
    <row r="261" spans="1:6" x14ac:dyDescent="0.3">
      <c r="A261" s="9" t="s">
        <v>6</v>
      </c>
      <c r="B261" s="9" t="s">
        <v>85</v>
      </c>
      <c r="C261" s="9" t="s">
        <v>85</v>
      </c>
      <c r="D261" s="9">
        <v>0</v>
      </c>
      <c r="E261" s="11" t="s">
        <v>105</v>
      </c>
      <c r="F261" s="11" t="str">
        <f t="shared" si="4"/>
        <v>Yes</v>
      </c>
    </row>
    <row r="262" spans="1:6" x14ac:dyDescent="0.3">
      <c r="A262" s="9" t="s">
        <v>6</v>
      </c>
      <c r="B262" s="9" t="s">
        <v>84</v>
      </c>
      <c r="C262" s="9" t="s">
        <v>85</v>
      </c>
      <c r="D262" s="9">
        <v>0</v>
      </c>
      <c r="E262" s="11" t="s">
        <v>105</v>
      </c>
      <c r="F262" s="11" t="str">
        <f t="shared" si="4"/>
        <v>Yes</v>
      </c>
    </row>
    <row r="263" spans="1:6" x14ac:dyDescent="0.3">
      <c r="A263" s="9" t="s">
        <v>6</v>
      </c>
      <c r="B263" s="9" t="s">
        <v>83</v>
      </c>
      <c r="C263" s="9" t="s">
        <v>95</v>
      </c>
      <c r="D263" s="9">
        <v>0</v>
      </c>
      <c r="E263" s="11" t="s">
        <v>105</v>
      </c>
      <c r="F263" s="11" t="str">
        <f t="shared" si="4"/>
        <v>Yes</v>
      </c>
    </row>
    <row r="264" spans="1:6" x14ac:dyDescent="0.3">
      <c r="A264" s="9" t="s">
        <v>6</v>
      </c>
      <c r="B264" s="9" t="s">
        <v>39</v>
      </c>
      <c r="C264" s="9" t="s">
        <v>40</v>
      </c>
      <c r="D264" s="9">
        <v>51</v>
      </c>
      <c r="E264" s="11" t="s">
        <v>106</v>
      </c>
      <c r="F264" s="11" t="str">
        <f t="shared" si="4"/>
        <v>Yes</v>
      </c>
    </row>
    <row r="265" spans="1:6" x14ac:dyDescent="0.3">
      <c r="A265" s="9" t="s">
        <v>6</v>
      </c>
      <c r="B265" s="9" t="s">
        <v>40</v>
      </c>
      <c r="C265" s="9" t="s">
        <v>40</v>
      </c>
      <c r="D265" s="9">
        <v>41</v>
      </c>
      <c r="E265" s="11" t="s">
        <v>107</v>
      </c>
      <c r="F265" s="11" t="str">
        <f t="shared" si="4"/>
        <v>No</v>
      </c>
    </row>
    <row r="266" spans="1:6" x14ac:dyDescent="0.3">
      <c r="A266" s="9" t="s">
        <v>6</v>
      </c>
      <c r="B266" s="9" t="s">
        <v>41</v>
      </c>
      <c r="C266" s="9" t="s">
        <v>40</v>
      </c>
      <c r="D266" s="9">
        <v>0</v>
      </c>
      <c r="E266" s="11" t="s">
        <v>107</v>
      </c>
      <c r="F266" s="11" t="str">
        <f t="shared" si="4"/>
        <v>No</v>
      </c>
    </row>
    <row r="267" spans="1:6" x14ac:dyDescent="0.3">
      <c r="A267" s="9" t="s">
        <v>6</v>
      </c>
      <c r="B267" s="9" t="s">
        <v>42</v>
      </c>
      <c r="C267" s="9" t="s">
        <v>40</v>
      </c>
      <c r="D267" s="9">
        <v>0</v>
      </c>
      <c r="E267" s="11" t="s">
        <v>107</v>
      </c>
      <c r="F267" s="11" t="str">
        <f t="shared" si="4"/>
        <v>No</v>
      </c>
    </row>
    <row r="268" spans="1:6" x14ac:dyDescent="0.3">
      <c r="A268" s="9" t="s">
        <v>6</v>
      </c>
      <c r="B268" s="9" t="s">
        <v>43</v>
      </c>
      <c r="C268" s="9" t="s">
        <v>40</v>
      </c>
      <c r="D268" s="9">
        <v>0</v>
      </c>
      <c r="E268" s="11" t="s">
        <v>106</v>
      </c>
      <c r="F268" s="11" t="str">
        <f t="shared" si="4"/>
        <v>No</v>
      </c>
    </row>
    <row r="269" spans="1:6" x14ac:dyDescent="0.3">
      <c r="A269" s="9" t="s">
        <v>6</v>
      </c>
      <c r="B269" s="9" t="s">
        <v>44</v>
      </c>
      <c r="C269" s="9" t="s">
        <v>40</v>
      </c>
      <c r="D269" s="9">
        <v>0</v>
      </c>
      <c r="E269" s="11" t="s">
        <v>107</v>
      </c>
      <c r="F269" s="11" t="str">
        <f t="shared" si="4"/>
        <v>No</v>
      </c>
    </row>
    <row r="270" spans="1:6" x14ac:dyDescent="0.3">
      <c r="A270" s="9" t="s">
        <v>6</v>
      </c>
      <c r="B270" s="9" t="s">
        <v>45</v>
      </c>
      <c r="C270" s="9" t="s">
        <v>40</v>
      </c>
      <c r="D270" s="9">
        <v>0</v>
      </c>
      <c r="E270" s="11" t="s">
        <v>107</v>
      </c>
      <c r="F270" s="11" t="str">
        <f t="shared" si="4"/>
        <v>No</v>
      </c>
    </row>
    <row r="271" spans="1:6" x14ac:dyDescent="0.3">
      <c r="A271" s="9" t="s">
        <v>6</v>
      </c>
      <c r="B271" s="9" t="s">
        <v>71</v>
      </c>
      <c r="C271" s="9" t="s">
        <v>40</v>
      </c>
      <c r="D271" s="9">
        <v>0</v>
      </c>
      <c r="E271" s="11" t="s">
        <v>105</v>
      </c>
      <c r="F271" s="11" t="str">
        <f t="shared" si="4"/>
        <v>Yes</v>
      </c>
    </row>
    <row r="272" spans="1:6" x14ac:dyDescent="0.3">
      <c r="A272" s="9" t="s">
        <v>6</v>
      </c>
      <c r="B272" s="9" t="s">
        <v>72</v>
      </c>
      <c r="C272" s="9" t="s">
        <v>40</v>
      </c>
      <c r="D272" s="9">
        <v>0</v>
      </c>
      <c r="E272" s="11" t="s">
        <v>105</v>
      </c>
      <c r="F272" s="11" t="str">
        <f t="shared" si="4"/>
        <v>Yes</v>
      </c>
    </row>
    <row r="273" spans="1:6" x14ac:dyDescent="0.3">
      <c r="A273" s="9" t="s">
        <v>6</v>
      </c>
      <c r="B273" s="9" t="s">
        <v>82</v>
      </c>
      <c r="C273" s="9" t="s">
        <v>40</v>
      </c>
      <c r="D273" s="9">
        <v>10</v>
      </c>
      <c r="E273" s="11" t="s">
        <v>105</v>
      </c>
      <c r="F273" s="11" t="str">
        <f t="shared" si="4"/>
        <v>Yes</v>
      </c>
    </row>
    <row r="274" spans="1:6" x14ac:dyDescent="0.3">
      <c r="A274" s="9" t="s">
        <v>6</v>
      </c>
      <c r="B274" s="9" t="s">
        <v>81</v>
      </c>
      <c r="C274" s="9" t="s">
        <v>81</v>
      </c>
      <c r="D274" s="9">
        <v>8</v>
      </c>
      <c r="E274" s="11" t="s">
        <v>105</v>
      </c>
      <c r="F274" s="11" t="str">
        <f t="shared" si="4"/>
        <v>Yes</v>
      </c>
    </row>
    <row r="275" spans="1:6" x14ac:dyDescent="0.3">
      <c r="A275" s="9" t="s">
        <v>6</v>
      </c>
      <c r="B275" s="9" t="s">
        <v>73</v>
      </c>
      <c r="C275" s="9" t="s">
        <v>81</v>
      </c>
      <c r="D275" s="9">
        <v>0</v>
      </c>
      <c r="E275" s="11" t="s">
        <v>105</v>
      </c>
      <c r="F275" s="11" t="str">
        <f t="shared" si="4"/>
        <v>Yes</v>
      </c>
    </row>
    <row r="276" spans="1:6" x14ac:dyDescent="0.3">
      <c r="A276" s="9" t="s">
        <v>6</v>
      </c>
      <c r="B276" s="9" t="s">
        <v>80</v>
      </c>
      <c r="C276" s="9" t="s">
        <v>81</v>
      </c>
      <c r="D276" s="9">
        <v>0</v>
      </c>
      <c r="E276" s="11" t="s">
        <v>105</v>
      </c>
      <c r="F276" s="11" t="str">
        <f t="shared" si="4"/>
        <v>Yes</v>
      </c>
    </row>
    <row r="277" spans="1:6" x14ac:dyDescent="0.3">
      <c r="A277" s="9" t="s">
        <v>6</v>
      </c>
      <c r="B277" s="9" t="s">
        <v>79</v>
      </c>
      <c r="C277" s="9" t="s">
        <v>96</v>
      </c>
      <c r="D277" s="9">
        <v>97</v>
      </c>
      <c r="E277" s="11" t="s">
        <v>106</v>
      </c>
      <c r="F277" s="11" t="str">
        <f t="shared" si="4"/>
        <v>Yes</v>
      </c>
    </row>
    <row r="278" spans="1:6" x14ac:dyDescent="0.3">
      <c r="A278" s="9" t="s">
        <v>6</v>
      </c>
      <c r="B278" s="9" t="s">
        <v>46</v>
      </c>
      <c r="C278" s="9" t="s">
        <v>96</v>
      </c>
      <c r="D278" s="9">
        <v>35</v>
      </c>
      <c r="E278" s="11" t="s">
        <v>107</v>
      </c>
      <c r="F278" s="11" t="str">
        <f t="shared" si="4"/>
        <v>No</v>
      </c>
    </row>
    <row r="279" spans="1:6" x14ac:dyDescent="0.3">
      <c r="A279" s="9" t="s">
        <v>6</v>
      </c>
      <c r="B279" s="9" t="s">
        <v>47</v>
      </c>
      <c r="C279" s="9" t="s">
        <v>96</v>
      </c>
      <c r="D279" s="9">
        <v>62</v>
      </c>
      <c r="E279" s="11" t="s">
        <v>107</v>
      </c>
      <c r="F279" s="11" t="str">
        <f t="shared" si="4"/>
        <v>No</v>
      </c>
    </row>
    <row r="280" spans="1:6" x14ac:dyDescent="0.3">
      <c r="A280" s="9" t="s">
        <v>6</v>
      </c>
      <c r="B280" s="9" t="s">
        <v>48</v>
      </c>
      <c r="C280" s="9" t="s">
        <v>97</v>
      </c>
      <c r="D280" s="9">
        <v>0</v>
      </c>
      <c r="E280" s="11" t="s">
        <v>106</v>
      </c>
      <c r="F280" s="11" t="str">
        <f t="shared" si="4"/>
        <v>Yes</v>
      </c>
    </row>
    <row r="281" spans="1:6" x14ac:dyDescent="0.3">
      <c r="A281" s="9" t="s">
        <v>6</v>
      </c>
      <c r="B281" s="9" t="s">
        <v>49</v>
      </c>
      <c r="C281" s="9" t="s">
        <v>97</v>
      </c>
      <c r="D281" s="9">
        <v>0</v>
      </c>
      <c r="E281" s="11" t="s">
        <v>107</v>
      </c>
      <c r="F281" s="11" t="str">
        <f t="shared" si="4"/>
        <v>No</v>
      </c>
    </row>
    <row r="282" spans="1:6" x14ac:dyDescent="0.3">
      <c r="A282" s="9" t="s">
        <v>6</v>
      </c>
      <c r="B282" s="9" t="s">
        <v>50</v>
      </c>
      <c r="C282" s="9" t="s">
        <v>97</v>
      </c>
      <c r="D282" s="9">
        <v>0</v>
      </c>
      <c r="E282" s="11" t="s">
        <v>107</v>
      </c>
      <c r="F282" s="11" t="str">
        <f t="shared" si="4"/>
        <v>No</v>
      </c>
    </row>
    <row r="283" spans="1:6" x14ac:dyDescent="0.3">
      <c r="A283" s="9" t="s">
        <v>6</v>
      </c>
      <c r="B283" s="9" t="s">
        <v>51</v>
      </c>
      <c r="C283" s="9" t="s">
        <v>99</v>
      </c>
      <c r="D283" s="9">
        <v>96</v>
      </c>
      <c r="E283" s="11" t="s">
        <v>106</v>
      </c>
      <c r="F283" s="11" t="str">
        <f t="shared" si="4"/>
        <v>Yes</v>
      </c>
    </row>
    <row r="284" spans="1:6" x14ac:dyDescent="0.3">
      <c r="A284" s="9" t="s">
        <v>6</v>
      </c>
      <c r="B284" s="9" t="s">
        <v>52</v>
      </c>
      <c r="C284" s="9" t="s">
        <v>99</v>
      </c>
      <c r="D284" s="9">
        <v>75</v>
      </c>
      <c r="E284" s="11" t="s">
        <v>107</v>
      </c>
      <c r="F284" s="11" t="str">
        <f t="shared" si="4"/>
        <v>No</v>
      </c>
    </row>
    <row r="285" spans="1:6" x14ac:dyDescent="0.3">
      <c r="A285" s="9" t="s">
        <v>6</v>
      </c>
      <c r="B285" s="9" t="s">
        <v>53</v>
      </c>
      <c r="C285" s="9" t="s">
        <v>99</v>
      </c>
      <c r="D285" s="9">
        <v>21</v>
      </c>
      <c r="E285" s="11" t="s">
        <v>107</v>
      </c>
      <c r="F285" s="11" t="str">
        <f t="shared" si="4"/>
        <v>No</v>
      </c>
    </row>
    <row r="286" spans="1:6" x14ac:dyDescent="0.3">
      <c r="A286" s="9" t="s">
        <v>6</v>
      </c>
      <c r="B286" s="9" t="s">
        <v>54</v>
      </c>
      <c r="C286" s="9" t="s">
        <v>98</v>
      </c>
      <c r="D286" s="9">
        <v>21</v>
      </c>
      <c r="E286" s="11" t="s">
        <v>106</v>
      </c>
      <c r="F286" s="11" t="str">
        <f t="shared" si="4"/>
        <v>Yes</v>
      </c>
    </row>
    <row r="287" spans="1:6" x14ac:dyDescent="0.3">
      <c r="A287" s="9" t="s">
        <v>6</v>
      </c>
      <c r="B287" s="9" t="s">
        <v>55</v>
      </c>
      <c r="C287" s="9" t="s">
        <v>98</v>
      </c>
      <c r="D287" s="9">
        <v>20</v>
      </c>
      <c r="E287" s="11" t="s">
        <v>107</v>
      </c>
      <c r="F287" s="11" t="str">
        <f t="shared" si="4"/>
        <v>No</v>
      </c>
    </row>
    <row r="288" spans="1:6" x14ac:dyDescent="0.3">
      <c r="A288" s="9" t="s">
        <v>6</v>
      </c>
      <c r="B288" s="9" t="s">
        <v>56</v>
      </c>
      <c r="C288" s="9" t="s">
        <v>98</v>
      </c>
      <c r="D288" s="9">
        <v>1</v>
      </c>
      <c r="E288" s="11" t="s">
        <v>107</v>
      </c>
      <c r="F288" s="11" t="str">
        <f t="shared" si="4"/>
        <v>No</v>
      </c>
    </row>
    <row r="289" spans="1:6" x14ac:dyDescent="0.3">
      <c r="A289" s="9" t="s">
        <v>6</v>
      </c>
      <c r="B289" s="9" t="s">
        <v>74</v>
      </c>
      <c r="C289" s="9" t="s">
        <v>74</v>
      </c>
      <c r="D289" s="9">
        <v>0</v>
      </c>
      <c r="E289" s="11" t="s">
        <v>105</v>
      </c>
      <c r="F289" s="11" t="str">
        <f t="shared" si="4"/>
        <v>Yes</v>
      </c>
    </row>
    <row r="290" spans="1:6" x14ac:dyDescent="0.3">
      <c r="A290" s="9" t="s">
        <v>6</v>
      </c>
      <c r="B290" s="9" t="s">
        <v>57</v>
      </c>
      <c r="C290" s="9" t="s">
        <v>100</v>
      </c>
      <c r="D290" s="9">
        <v>0</v>
      </c>
      <c r="E290" s="11" t="s">
        <v>106</v>
      </c>
      <c r="F290" s="11" t="str">
        <f t="shared" si="4"/>
        <v>Yes</v>
      </c>
    </row>
    <row r="291" spans="1:6" x14ac:dyDescent="0.3">
      <c r="A291" s="9" t="s">
        <v>6</v>
      </c>
      <c r="B291" s="9" t="s">
        <v>76</v>
      </c>
      <c r="C291" s="9" t="s">
        <v>100</v>
      </c>
      <c r="D291" s="9">
        <v>0</v>
      </c>
      <c r="E291" s="11" t="s">
        <v>107</v>
      </c>
      <c r="F291" s="11" t="str">
        <f t="shared" si="4"/>
        <v>No</v>
      </c>
    </row>
    <row r="292" spans="1:6" x14ac:dyDescent="0.3">
      <c r="A292" s="9" t="s">
        <v>6</v>
      </c>
      <c r="B292" s="9" t="s">
        <v>58</v>
      </c>
      <c r="C292" s="9" t="s">
        <v>100</v>
      </c>
      <c r="D292" s="9">
        <v>0</v>
      </c>
      <c r="E292" s="11" t="s">
        <v>107</v>
      </c>
      <c r="F292" s="11" t="str">
        <f t="shared" si="4"/>
        <v>No</v>
      </c>
    </row>
    <row r="293" spans="1:6" x14ac:dyDescent="0.3">
      <c r="A293" s="9" t="s">
        <v>6</v>
      </c>
      <c r="B293" s="9" t="s">
        <v>59</v>
      </c>
      <c r="C293" s="9" t="s">
        <v>100</v>
      </c>
      <c r="D293" s="9">
        <v>0</v>
      </c>
      <c r="E293" s="11" t="s">
        <v>107</v>
      </c>
      <c r="F293" s="11" t="str">
        <f t="shared" si="4"/>
        <v>No</v>
      </c>
    </row>
    <row r="294" spans="1:6" x14ac:dyDescent="0.3">
      <c r="A294" s="9" t="s">
        <v>6</v>
      </c>
      <c r="B294" s="9" t="s">
        <v>60</v>
      </c>
      <c r="C294" s="9" t="s">
        <v>100</v>
      </c>
      <c r="D294" s="9">
        <v>0</v>
      </c>
      <c r="E294" s="11" t="s">
        <v>107</v>
      </c>
      <c r="F294" s="11" t="str">
        <f t="shared" si="4"/>
        <v>No</v>
      </c>
    </row>
    <row r="295" spans="1:6" x14ac:dyDescent="0.3">
      <c r="A295" s="9" t="s">
        <v>6</v>
      </c>
      <c r="B295" s="9" t="s">
        <v>61</v>
      </c>
      <c r="C295" s="9" t="s">
        <v>100</v>
      </c>
      <c r="D295" s="9">
        <v>0</v>
      </c>
      <c r="E295" s="11" t="s">
        <v>107</v>
      </c>
      <c r="F295" s="11" t="str">
        <f t="shared" si="4"/>
        <v>No</v>
      </c>
    </row>
    <row r="296" spans="1:6" x14ac:dyDescent="0.3">
      <c r="A296" s="9" t="s">
        <v>6</v>
      </c>
      <c r="B296" s="9" t="s">
        <v>78</v>
      </c>
      <c r="C296" s="9" t="s">
        <v>95</v>
      </c>
      <c r="D296" s="9">
        <v>0</v>
      </c>
      <c r="E296" s="11" t="s">
        <v>105</v>
      </c>
      <c r="F296" s="11" t="str">
        <f t="shared" si="4"/>
        <v>Yes</v>
      </c>
    </row>
    <row r="297" spans="1:6" x14ac:dyDescent="0.3">
      <c r="A297" s="9" t="s">
        <v>6</v>
      </c>
      <c r="B297" s="9" t="s">
        <v>62</v>
      </c>
      <c r="C297" s="9" t="s">
        <v>101</v>
      </c>
      <c r="D297" s="9">
        <v>9</v>
      </c>
      <c r="E297" s="11" t="s">
        <v>106</v>
      </c>
      <c r="F297" s="11" t="str">
        <f t="shared" si="4"/>
        <v>Yes</v>
      </c>
    </row>
    <row r="298" spans="1:6" x14ac:dyDescent="0.3">
      <c r="A298" s="9" t="s">
        <v>6</v>
      </c>
      <c r="B298" s="9" t="s">
        <v>63</v>
      </c>
      <c r="C298" s="9" t="s">
        <v>101</v>
      </c>
      <c r="D298" s="9">
        <v>8</v>
      </c>
      <c r="E298" s="11" t="s">
        <v>107</v>
      </c>
      <c r="F298" s="11" t="str">
        <f t="shared" si="4"/>
        <v>No</v>
      </c>
    </row>
    <row r="299" spans="1:6" x14ac:dyDescent="0.3">
      <c r="A299" s="9" t="s">
        <v>6</v>
      </c>
      <c r="B299" s="9" t="s">
        <v>64</v>
      </c>
      <c r="C299" s="9" t="s">
        <v>101</v>
      </c>
      <c r="D299" s="9">
        <v>1</v>
      </c>
      <c r="E299" s="11" t="s">
        <v>107</v>
      </c>
      <c r="F299" s="11" t="str">
        <f t="shared" si="4"/>
        <v>No</v>
      </c>
    </row>
    <row r="300" spans="1:6" x14ac:dyDescent="0.3">
      <c r="A300" s="9" t="s">
        <v>6</v>
      </c>
      <c r="B300" s="9" t="s">
        <v>77</v>
      </c>
      <c r="C300" s="9" t="s">
        <v>102</v>
      </c>
      <c r="D300" s="9">
        <v>0</v>
      </c>
      <c r="E300" s="11" t="s">
        <v>106</v>
      </c>
      <c r="F300" s="11" t="str">
        <f t="shared" si="4"/>
        <v>Yes</v>
      </c>
    </row>
    <row r="301" spans="1:6" x14ac:dyDescent="0.3">
      <c r="A301" s="9" t="s">
        <v>6</v>
      </c>
      <c r="B301" s="9" t="s">
        <v>65</v>
      </c>
      <c r="C301" s="9" t="s">
        <v>102</v>
      </c>
      <c r="D301" s="9">
        <v>0</v>
      </c>
      <c r="E301" s="11" t="s">
        <v>107</v>
      </c>
      <c r="F301" s="11" t="str">
        <f t="shared" si="4"/>
        <v>No</v>
      </c>
    </row>
    <row r="302" spans="1:6" x14ac:dyDescent="0.3">
      <c r="A302" s="9" t="s">
        <v>6</v>
      </c>
      <c r="B302" s="9" t="s">
        <v>66</v>
      </c>
      <c r="C302" s="9" t="s">
        <v>102</v>
      </c>
      <c r="D302" s="9">
        <v>0</v>
      </c>
      <c r="E302" s="11" t="s">
        <v>107</v>
      </c>
      <c r="F302" s="11" t="str">
        <f t="shared" si="4"/>
        <v>No</v>
      </c>
    </row>
    <row r="303" spans="1:6" x14ac:dyDescent="0.3">
      <c r="A303" s="9" t="s">
        <v>6</v>
      </c>
      <c r="B303" s="9" t="s">
        <v>67</v>
      </c>
      <c r="C303" s="9" t="s">
        <v>102</v>
      </c>
      <c r="D303" s="9">
        <v>0</v>
      </c>
      <c r="E303" s="11" t="s">
        <v>107</v>
      </c>
      <c r="F303" s="11" t="str">
        <f t="shared" si="4"/>
        <v>No</v>
      </c>
    </row>
    <row r="304" spans="1:6" x14ac:dyDescent="0.3">
      <c r="A304" s="9" t="s">
        <v>6</v>
      </c>
      <c r="B304" s="9" t="s">
        <v>68</v>
      </c>
      <c r="C304" s="9" t="s">
        <v>102</v>
      </c>
      <c r="D304" s="9">
        <v>0</v>
      </c>
      <c r="E304" s="11" t="s">
        <v>107</v>
      </c>
      <c r="F304" s="11" t="str">
        <f t="shared" si="4"/>
        <v>No</v>
      </c>
    </row>
    <row r="305" spans="1:6" x14ac:dyDescent="0.3">
      <c r="A305" s="9" t="s">
        <v>6</v>
      </c>
      <c r="B305" s="9" t="s">
        <v>69</v>
      </c>
      <c r="C305" s="9" t="s">
        <v>102</v>
      </c>
      <c r="D305" s="9">
        <v>0</v>
      </c>
      <c r="E305" s="11" t="s">
        <v>107</v>
      </c>
      <c r="F305" s="11" t="str">
        <f t="shared" si="4"/>
        <v>No</v>
      </c>
    </row>
    <row r="306" spans="1:6" x14ac:dyDescent="0.3">
      <c r="A306" s="9" t="s">
        <v>6</v>
      </c>
      <c r="B306" s="9" t="s">
        <v>70</v>
      </c>
      <c r="C306" s="9" t="s">
        <v>102</v>
      </c>
      <c r="D306" s="9">
        <v>0</v>
      </c>
      <c r="E306" s="11" t="s">
        <v>107</v>
      </c>
      <c r="F306" s="11" t="str">
        <f t="shared" si="4"/>
        <v>No</v>
      </c>
    </row>
    <row r="307" spans="1:6" x14ac:dyDescent="0.3">
      <c r="A307" s="9" t="s">
        <v>6</v>
      </c>
      <c r="B307" s="9" t="s">
        <v>75</v>
      </c>
      <c r="C307" s="9" t="s">
        <v>103</v>
      </c>
      <c r="D307" s="9">
        <v>0</v>
      </c>
      <c r="E307" s="11" t="s">
        <v>105</v>
      </c>
      <c r="F307" s="11" t="str">
        <f t="shared" si="4"/>
        <v>Yes</v>
      </c>
    </row>
    <row r="308" spans="1:6" x14ac:dyDescent="0.3">
      <c r="A308" s="9" t="s">
        <v>7</v>
      </c>
      <c r="B308" s="9" t="s">
        <v>88</v>
      </c>
      <c r="C308" s="9" t="s">
        <v>92</v>
      </c>
      <c r="D308" s="9">
        <v>7</v>
      </c>
      <c r="E308" s="11" t="s">
        <v>105</v>
      </c>
      <c r="F308" s="11" t="str">
        <f t="shared" si="4"/>
        <v>Yes</v>
      </c>
    </row>
    <row r="309" spans="1:6" x14ac:dyDescent="0.3">
      <c r="A309" s="9" t="s">
        <v>7</v>
      </c>
      <c r="B309" s="9" t="s">
        <v>38</v>
      </c>
      <c r="C309" s="9" t="s">
        <v>93</v>
      </c>
      <c r="D309" s="9">
        <v>12</v>
      </c>
      <c r="E309" s="11" t="s">
        <v>105</v>
      </c>
      <c r="F309" s="11" t="str">
        <f t="shared" si="4"/>
        <v>Yes</v>
      </c>
    </row>
    <row r="310" spans="1:6" x14ac:dyDescent="0.3">
      <c r="A310" s="9" t="s">
        <v>7</v>
      </c>
      <c r="B310" s="9" t="s">
        <v>87</v>
      </c>
      <c r="C310" s="9" t="s">
        <v>94</v>
      </c>
      <c r="D310" s="9">
        <v>318</v>
      </c>
      <c r="E310" s="11" t="s">
        <v>105</v>
      </c>
      <c r="F310" s="11" t="str">
        <f t="shared" si="4"/>
        <v>Yes</v>
      </c>
    </row>
    <row r="311" spans="1:6" x14ac:dyDescent="0.3">
      <c r="A311" s="9" t="s">
        <v>7</v>
      </c>
      <c r="B311" s="9" t="s">
        <v>86</v>
      </c>
      <c r="C311" s="9" t="s">
        <v>86</v>
      </c>
      <c r="D311" s="9">
        <v>5</v>
      </c>
      <c r="E311" s="11" t="s">
        <v>105</v>
      </c>
      <c r="F311" s="11" t="str">
        <f t="shared" si="4"/>
        <v>Yes</v>
      </c>
    </row>
    <row r="312" spans="1:6" x14ac:dyDescent="0.3">
      <c r="A312" s="9" t="s">
        <v>7</v>
      </c>
      <c r="B312" s="9" t="s">
        <v>85</v>
      </c>
      <c r="C312" s="9" t="s">
        <v>85</v>
      </c>
      <c r="D312" s="9">
        <v>2</v>
      </c>
      <c r="E312" s="11" t="s">
        <v>105</v>
      </c>
      <c r="F312" s="11" t="str">
        <f t="shared" si="4"/>
        <v>Yes</v>
      </c>
    </row>
    <row r="313" spans="1:6" x14ac:dyDescent="0.3">
      <c r="A313" s="9" t="s">
        <v>7</v>
      </c>
      <c r="B313" s="9" t="s">
        <v>84</v>
      </c>
      <c r="C313" s="9" t="s">
        <v>85</v>
      </c>
      <c r="D313" s="9">
        <v>1</v>
      </c>
      <c r="E313" s="11" t="s">
        <v>105</v>
      </c>
      <c r="F313" s="11" t="str">
        <f t="shared" si="4"/>
        <v>Yes</v>
      </c>
    </row>
    <row r="314" spans="1:6" x14ac:dyDescent="0.3">
      <c r="A314" s="9" t="s">
        <v>7</v>
      </c>
      <c r="B314" s="9" t="s">
        <v>83</v>
      </c>
      <c r="C314" s="9" t="s">
        <v>95</v>
      </c>
      <c r="D314" s="9">
        <v>2176</v>
      </c>
      <c r="E314" s="11" t="s">
        <v>105</v>
      </c>
      <c r="F314" s="11" t="str">
        <f t="shared" si="4"/>
        <v>Yes</v>
      </c>
    </row>
    <row r="315" spans="1:6" x14ac:dyDescent="0.3">
      <c r="A315" s="9" t="s">
        <v>7</v>
      </c>
      <c r="B315" s="9" t="s">
        <v>39</v>
      </c>
      <c r="C315" s="9" t="s">
        <v>40</v>
      </c>
      <c r="D315" s="9">
        <v>1257</v>
      </c>
      <c r="E315" s="11" t="s">
        <v>106</v>
      </c>
      <c r="F315" s="11" t="str">
        <f t="shared" si="4"/>
        <v>Yes</v>
      </c>
    </row>
    <row r="316" spans="1:6" x14ac:dyDescent="0.3">
      <c r="A316" s="9" t="s">
        <v>7</v>
      </c>
      <c r="B316" s="9" t="s">
        <v>40</v>
      </c>
      <c r="C316" s="9" t="s">
        <v>40</v>
      </c>
      <c r="D316" s="9">
        <v>646</v>
      </c>
      <c r="E316" s="11" t="s">
        <v>107</v>
      </c>
      <c r="F316" s="11" t="str">
        <f t="shared" si="4"/>
        <v>No</v>
      </c>
    </row>
    <row r="317" spans="1:6" x14ac:dyDescent="0.3">
      <c r="A317" s="9" t="s">
        <v>7</v>
      </c>
      <c r="B317" s="9" t="s">
        <v>41</v>
      </c>
      <c r="C317" s="9" t="s">
        <v>40</v>
      </c>
      <c r="D317" s="9">
        <v>0</v>
      </c>
      <c r="E317" s="11" t="s">
        <v>107</v>
      </c>
      <c r="F317" s="11" t="str">
        <f t="shared" si="4"/>
        <v>No</v>
      </c>
    </row>
    <row r="318" spans="1:6" x14ac:dyDescent="0.3">
      <c r="A318" s="9" t="s">
        <v>7</v>
      </c>
      <c r="B318" s="9" t="s">
        <v>42</v>
      </c>
      <c r="C318" s="9" t="s">
        <v>40</v>
      </c>
      <c r="D318" s="9">
        <v>1</v>
      </c>
      <c r="E318" s="11" t="s">
        <v>107</v>
      </c>
      <c r="F318" s="11" t="str">
        <f t="shared" si="4"/>
        <v>No</v>
      </c>
    </row>
    <row r="319" spans="1:6" x14ac:dyDescent="0.3">
      <c r="A319" s="9" t="s">
        <v>7</v>
      </c>
      <c r="B319" s="9" t="s">
        <v>43</v>
      </c>
      <c r="C319" s="9" t="s">
        <v>40</v>
      </c>
      <c r="D319" s="9">
        <v>567</v>
      </c>
      <c r="E319" s="11" t="s">
        <v>106</v>
      </c>
      <c r="F319" s="11" t="str">
        <f t="shared" si="4"/>
        <v>No</v>
      </c>
    </row>
    <row r="320" spans="1:6" x14ac:dyDescent="0.3">
      <c r="A320" s="9" t="s">
        <v>7</v>
      </c>
      <c r="B320" s="9" t="s">
        <v>44</v>
      </c>
      <c r="C320" s="9" t="s">
        <v>40</v>
      </c>
      <c r="D320" s="9">
        <v>43</v>
      </c>
      <c r="E320" s="11" t="s">
        <v>107</v>
      </c>
      <c r="F320" s="11" t="str">
        <f t="shared" si="4"/>
        <v>No</v>
      </c>
    </row>
    <row r="321" spans="1:6" x14ac:dyDescent="0.3">
      <c r="A321" s="9" t="s">
        <v>7</v>
      </c>
      <c r="B321" s="9" t="s">
        <v>45</v>
      </c>
      <c r="C321" s="9" t="s">
        <v>40</v>
      </c>
      <c r="D321" s="9">
        <v>524</v>
      </c>
      <c r="E321" s="11" t="s">
        <v>107</v>
      </c>
      <c r="F321" s="11" t="str">
        <f t="shared" si="4"/>
        <v>No</v>
      </c>
    </row>
    <row r="322" spans="1:6" x14ac:dyDescent="0.3">
      <c r="A322" s="9" t="s">
        <v>7</v>
      </c>
      <c r="B322" s="9" t="s">
        <v>71</v>
      </c>
      <c r="C322" s="9" t="s">
        <v>40</v>
      </c>
      <c r="D322" s="9">
        <v>1</v>
      </c>
      <c r="E322" s="11" t="s">
        <v>105</v>
      </c>
      <c r="F322" s="11" t="str">
        <f t="shared" ref="F322:F385" si="5">IF(E322="Standalone","Yes",IF(AND(E322="Total",OR(B322="Kidnapping &amp; Abduction (Total)",B322="Rape (Total)",B322="Attempt to Rape (Total)",B322="Assault to Outrage Modesty (Total)",B322="Insult to Modesty (Total)",B322="Immoral Traffic (Prevention) Act (Total)",B322="Women-Centric Cyber Crime (Total)",B322="POCSO (Protection of Children from Sexual Offences Act) (Total)")),"Yes","No"))</f>
        <v>Yes</v>
      </c>
    </row>
    <row r="323" spans="1:6" x14ac:dyDescent="0.3">
      <c r="A323" s="9" t="s">
        <v>7</v>
      </c>
      <c r="B323" s="9" t="s">
        <v>72</v>
      </c>
      <c r="C323" s="9" t="s">
        <v>40</v>
      </c>
      <c r="D323" s="9">
        <v>0</v>
      </c>
      <c r="E323" s="11" t="s">
        <v>105</v>
      </c>
      <c r="F323" s="11" t="str">
        <f t="shared" si="5"/>
        <v>Yes</v>
      </c>
    </row>
    <row r="324" spans="1:6" x14ac:dyDescent="0.3">
      <c r="A324" s="9" t="s">
        <v>7</v>
      </c>
      <c r="B324" s="9" t="s">
        <v>82</v>
      </c>
      <c r="C324" s="9" t="s">
        <v>40</v>
      </c>
      <c r="D324" s="9">
        <v>42</v>
      </c>
      <c r="E324" s="11" t="s">
        <v>105</v>
      </c>
      <c r="F324" s="11" t="str">
        <f t="shared" si="5"/>
        <v>Yes</v>
      </c>
    </row>
    <row r="325" spans="1:6" x14ac:dyDescent="0.3">
      <c r="A325" s="9" t="s">
        <v>7</v>
      </c>
      <c r="B325" s="9" t="s">
        <v>81</v>
      </c>
      <c r="C325" s="9" t="s">
        <v>81</v>
      </c>
      <c r="D325" s="9">
        <v>3</v>
      </c>
      <c r="E325" s="11" t="s">
        <v>105</v>
      </c>
      <c r="F325" s="11" t="str">
        <f t="shared" si="5"/>
        <v>Yes</v>
      </c>
    </row>
    <row r="326" spans="1:6" x14ac:dyDescent="0.3">
      <c r="A326" s="9" t="s">
        <v>7</v>
      </c>
      <c r="B326" s="9" t="s">
        <v>73</v>
      </c>
      <c r="C326" s="9" t="s">
        <v>81</v>
      </c>
      <c r="D326" s="9">
        <v>0</v>
      </c>
      <c r="E326" s="11" t="s">
        <v>105</v>
      </c>
      <c r="F326" s="11" t="str">
        <f t="shared" si="5"/>
        <v>Yes</v>
      </c>
    </row>
    <row r="327" spans="1:6" x14ac:dyDescent="0.3">
      <c r="A327" s="9" t="s">
        <v>7</v>
      </c>
      <c r="B327" s="9" t="s">
        <v>80</v>
      </c>
      <c r="C327" s="9" t="s">
        <v>81</v>
      </c>
      <c r="D327" s="9">
        <v>0</v>
      </c>
      <c r="E327" s="11" t="s">
        <v>105</v>
      </c>
      <c r="F327" s="11" t="str">
        <f t="shared" si="5"/>
        <v>Yes</v>
      </c>
    </row>
    <row r="328" spans="1:6" x14ac:dyDescent="0.3">
      <c r="A328" s="9" t="s">
        <v>7</v>
      </c>
      <c r="B328" s="9" t="s">
        <v>79</v>
      </c>
      <c r="C328" s="9" t="s">
        <v>96</v>
      </c>
      <c r="D328" s="9">
        <v>634</v>
      </c>
      <c r="E328" s="11" t="s">
        <v>106</v>
      </c>
      <c r="F328" s="11" t="str">
        <f t="shared" si="5"/>
        <v>Yes</v>
      </c>
    </row>
    <row r="329" spans="1:6" x14ac:dyDescent="0.3">
      <c r="A329" s="9" t="s">
        <v>7</v>
      </c>
      <c r="B329" s="9" t="s">
        <v>46</v>
      </c>
      <c r="C329" s="9" t="s">
        <v>96</v>
      </c>
      <c r="D329" s="9">
        <v>632</v>
      </c>
      <c r="E329" s="11" t="s">
        <v>107</v>
      </c>
      <c r="F329" s="11" t="str">
        <f t="shared" si="5"/>
        <v>No</v>
      </c>
    </row>
    <row r="330" spans="1:6" x14ac:dyDescent="0.3">
      <c r="A330" s="9" t="s">
        <v>7</v>
      </c>
      <c r="B330" s="9" t="s">
        <v>47</v>
      </c>
      <c r="C330" s="9" t="s">
        <v>96</v>
      </c>
      <c r="D330" s="9">
        <v>2</v>
      </c>
      <c r="E330" s="11" t="s">
        <v>107</v>
      </c>
      <c r="F330" s="11" t="str">
        <f t="shared" si="5"/>
        <v>No</v>
      </c>
    </row>
    <row r="331" spans="1:6" x14ac:dyDescent="0.3">
      <c r="A331" s="9" t="s">
        <v>7</v>
      </c>
      <c r="B331" s="9" t="s">
        <v>48</v>
      </c>
      <c r="C331" s="9" t="s">
        <v>97</v>
      </c>
      <c r="D331" s="9">
        <v>0</v>
      </c>
      <c r="E331" s="11" t="s">
        <v>106</v>
      </c>
      <c r="F331" s="11" t="str">
        <f t="shared" si="5"/>
        <v>Yes</v>
      </c>
    </row>
    <row r="332" spans="1:6" x14ac:dyDescent="0.3">
      <c r="A332" s="9" t="s">
        <v>7</v>
      </c>
      <c r="B332" s="9" t="s">
        <v>49</v>
      </c>
      <c r="C332" s="9" t="s">
        <v>97</v>
      </c>
      <c r="D332" s="9">
        <v>0</v>
      </c>
      <c r="E332" s="11" t="s">
        <v>107</v>
      </c>
      <c r="F332" s="11" t="str">
        <f t="shared" si="5"/>
        <v>No</v>
      </c>
    </row>
    <row r="333" spans="1:6" x14ac:dyDescent="0.3">
      <c r="A333" s="9" t="s">
        <v>7</v>
      </c>
      <c r="B333" s="9" t="s">
        <v>50</v>
      </c>
      <c r="C333" s="9" t="s">
        <v>97</v>
      </c>
      <c r="D333" s="9">
        <v>0</v>
      </c>
      <c r="E333" s="11" t="s">
        <v>107</v>
      </c>
      <c r="F333" s="11" t="str">
        <f t="shared" si="5"/>
        <v>No</v>
      </c>
    </row>
    <row r="334" spans="1:6" x14ac:dyDescent="0.3">
      <c r="A334" s="9" t="s">
        <v>7</v>
      </c>
      <c r="B334" s="9" t="s">
        <v>51</v>
      </c>
      <c r="C334" s="9" t="s">
        <v>99</v>
      </c>
      <c r="D334" s="9">
        <v>688</v>
      </c>
      <c r="E334" s="11" t="s">
        <v>106</v>
      </c>
      <c r="F334" s="11" t="str">
        <f t="shared" si="5"/>
        <v>Yes</v>
      </c>
    </row>
    <row r="335" spans="1:6" x14ac:dyDescent="0.3">
      <c r="A335" s="9" t="s">
        <v>7</v>
      </c>
      <c r="B335" s="9" t="s">
        <v>52</v>
      </c>
      <c r="C335" s="9" t="s">
        <v>99</v>
      </c>
      <c r="D335" s="9">
        <v>622</v>
      </c>
      <c r="E335" s="11" t="s">
        <v>107</v>
      </c>
      <c r="F335" s="11" t="str">
        <f t="shared" si="5"/>
        <v>No</v>
      </c>
    </row>
    <row r="336" spans="1:6" x14ac:dyDescent="0.3">
      <c r="A336" s="9" t="s">
        <v>7</v>
      </c>
      <c r="B336" s="9" t="s">
        <v>53</v>
      </c>
      <c r="C336" s="9" t="s">
        <v>99</v>
      </c>
      <c r="D336" s="9">
        <v>66</v>
      </c>
      <c r="E336" s="11" t="s">
        <v>107</v>
      </c>
      <c r="F336" s="11" t="str">
        <f t="shared" si="5"/>
        <v>No</v>
      </c>
    </row>
    <row r="337" spans="1:6" x14ac:dyDescent="0.3">
      <c r="A337" s="9" t="s">
        <v>7</v>
      </c>
      <c r="B337" s="9" t="s">
        <v>54</v>
      </c>
      <c r="C337" s="9" t="s">
        <v>98</v>
      </c>
      <c r="D337" s="9">
        <v>15</v>
      </c>
      <c r="E337" s="11" t="s">
        <v>106</v>
      </c>
      <c r="F337" s="11" t="str">
        <f t="shared" si="5"/>
        <v>Yes</v>
      </c>
    </row>
    <row r="338" spans="1:6" x14ac:dyDescent="0.3">
      <c r="A338" s="9" t="s">
        <v>7</v>
      </c>
      <c r="B338" s="9" t="s">
        <v>55</v>
      </c>
      <c r="C338" s="9" t="s">
        <v>98</v>
      </c>
      <c r="D338" s="9">
        <v>15</v>
      </c>
      <c r="E338" s="11" t="s">
        <v>107</v>
      </c>
      <c r="F338" s="11" t="str">
        <f t="shared" si="5"/>
        <v>No</v>
      </c>
    </row>
    <row r="339" spans="1:6" x14ac:dyDescent="0.3">
      <c r="A339" s="9" t="s">
        <v>7</v>
      </c>
      <c r="B339" s="9" t="s">
        <v>56</v>
      </c>
      <c r="C339" s="9" t="s">
        <v>98</v>
      </c>
      <c r="D339" s="9">
        <v>0</v>
      </c>
      <c r="E339" s="11" t="s">
        <v>107</v>
      </c>
      <c r="F339" s="11" t="str">
        <f t="shared" si="5"/>
        <v>No</v>
      </c>
    </row>
    <row r="340" spans="1:6" x14ac:dyDescent="0.3">
      <c r="A340" s="9" t="s">
        <v>7</v>
      </c>
      <c r="B340" s="9" t="s">
        <v>74</v>
      </c>
      <c r="C340" s="9" t="s">
        <v>74</v>
      </c>
      <c r="D340" s="9">
        <v>3</v>
      </c>
      <c r="E340" s="11" t="s">
        <v>105</v>
      </c>
      <c r="F340" s="11" t="str">
        <f t="shared" si="5"/>
        <v>Yes</v>
      </c>
    </row>
    <row r="341" spans="1:6" x14ac:dyDescent="0.3">
      <c r="A341" s="9" t="s">
        <v>7</v>
      </c>
      <c r="B341" s="9" t="s">
        <v>57</v>
      </c>
      <c r="C341" s="9" t="s">
        <v>100</v>
      </c>
      <c r="D341" s="9">
        <v>80</v>
      </c>
      <c r="E341" s="11" t="s">
        <v>106</v>
      </c>
      <c r="F341" s="11" t="str">
        <f t="shared" si="5"/>
        <v>Yes</v>
      </c>
    </row>
    <row r="342" spans="1:6" x14ac:dyDescent="0.3">
      <c r="A342" s="9" t="s">
        <v>7</v>
      </c>
      <c r="B342" s="9" t="s">
        <v>76</v>
      </c>
      <c r="C342" s="9" t="s">
        <v>100</v>
      </c>
      <c r="D342" s="9">
        <v>6</v>
      </c>
      <c r="E342" s="11" t="s">
        <v>107</v>
      </c>
      <c r="F342" s="11" t="str">
        <f t="shared" si="5"/>
        <v>No</v>
      </c>
    </row>
    <row r="343" spans="1:6" x14ac:dyDescent="0.3">
      <c r="A343" s="9" t="s">
        <v>7</v>
      </c>
      <c r="B343" s="9" t="s">
        <v>58</v>
      </c>
      <c r="C343" s="9" t="s">
        <v>100</v>
      </c>
      <c r="D343" s="9">
        <v>22</v>
      </c>
      <c r="E343" s="11" t="s">
        <v>107</v>
      </c>
      <c r="F343" s="11" t="str">
        <f t="shared" si="5"/>
        <v>No</v>
      </c>
    </row>
    <row r="344" spans="1:6" x14ac:dyDescent="0.3">
      <c r="A344" s="9" t="s">
        <v>7</v>
      </c>
      <c r="B344" s="9" t="s">
        <v>59</v>
      </c>
      <c r="C344" s="9" t="s">
        <v>100</v>
      </c>
      <c r="D344" s="9">
        <v>42</v>
      </c>
      <c r="E344" s="11" t="s">
        <v>107</v>
      </c>
      <c r="F344" s="11" t="str">
        <f t="shared" si="5"/>
        <v>No</v>
      </c>
    </row>
    <row r="345" spans="1:6" x14ac:dyDescent="0.3">
      <c r="A345" s="9" t="s">
        <v>7</v>
      </c>
      <c r="B345" s="9" t="s">
        <v>60</v>
      </c>
      <c r="C345" s="9" t="s">
        <v>100</v>
      </c>
      <c r="D345" s="9">
        <v>1</v>
      </c>
      <c r="E345" s="11" t="s">
        <v>107</v>
      </c>
      <c r="F345" s="11" t="str">
        <f t="shared" si="5"/>
        <v>No</v>
      </c>
    </row>
    <row r="346" spans="1:6" x14ac:dyDescent="0.3">
      <c r="A346" s="9" t="s">
        <v>7</v>
      </c>
      <c r="B346" s="9" t="s">
        <v>61</v>
      </c>
      <c r="C346" s="9" t="s">
        <v>100</v>
      </c>
      <c r="D346" s="9">
        <v>9</v>
      </c>
      <c r="E346" s="11" t="s">
        <v>107</v>
      </c>
      <c r="F346" s="11" t="str">
        <f t="shared" si="5"/>
        <v>No</v>
      </c>
    </row>
    <row r="347" spans="1:6" x14ac:dyDescent="0.3">
      <c r="A347" s="9" t="s">
        <v>7</v>
      </c>
      <c r="B347" s="9" t="s">
        <v>78</v>
      </c>
      <c r="C347" s="9" t="s">
        <v>95</v>
      </c>
      <c r="D347" s="9">
        <v>2</v>
      </c>
      <c r="E347" s="11" t="s">
        <v>105</v>
      </c>
      <c r="F347" s="11" t="str">
        <f t="shared" si="5"/>
        <v>Yes</v>
      </c>
    </row>
    <row r="348" spans="1:6" x14ac:dyDescent="0.3">
      <c r="A348" s="9" t="s">
        <v>7</v>
      </c>
      <c r="B348" s="9" t="s">
        <v>62</v>
      </c>
      <c r="C348" s="9" t="s">
        <v>101</v>
      </c>
      <c r="D348" s="9">
        <v>54</v>
      </c>
      <c r="E348" s="11" t="s">
        <v>106</v>
      </c>
      <c r="F348" s="11" t="str">
        <f t="shared" si="5"/>
        <v>Yes</v>
      </c>
    </row>
    <row r="349" spans="1:6" x14ac:dyDescent="0.3">
      <c r="A349" s="9" t="s">
        <v>7</v>
      </c>
      <c r="B349" s="9" t="s">
        <v>63</v>
      </c>
      <c r="C349" s="9" t="s">
        <v>101</v>
      </c>
      <c r="D349" s="9">
        <v>45</v>
      </c>
      <c r="E349" s="11" t="s">
        <v>107</v>
      </c>
      <c r="F349" s="11" t="str">
        <f t="shared" si="5"/>
        <v>No</v>
      </c>
    </row>
    <row r="350" spans="1:6" x14ac:dyDescent="0.3">
      <c r="A350" s="9" t="s">
        <v>7</v>
      </c>
      <c r="B350" s="9" t="s">
        <v>64</v>
      </c>
      <c r="C350" s="9" t="s">
        <v>101</v>
      </c>
      <c r="D350" s="9">
        <v>9</v>
      </c>
      <c r="E350" s="11" t="s">
        <v>107</v>
      </c>
      <c r="F350" s="11" t="str">
        <f t="shared" si="5"/>
        <v>No</v>
      </c>
    </row>
    <row r="351" spans="1:6" x14ac:dyDescent="0.3">
      <c r="A351" s="9" t="s">
        <v>7</v>
      </c>
      <c r="B351" s="9" t="s">
        <v>77</v>
      </c>
      <c r="C351" s="9" t="s">
        <v>102</v>
      </c>
      <c r="D351" s="9">
        <v>2548</v>
      </c>
      <c r="E351" s="11" t="s">
        <v>106</v>
      </c>
      <c r="F351" s="11" t="str">
        <f t="shared" si="5"/>
        <v>Yes</v>
      </c>
    </row>
    <row r="352" spans="1:6" x14ac:dyDescent="0.3">
      <c r="A352" s="9" t="s">
        <v>7</v>
      </c>
      <c r="B352" s="9" t="s">
        <v>65</v>
      </c>
      <c r="C352" s="9" t="s">
        <v>102</v>
      </c>
      <c r="D352" s="9">
        <v>2279</v>
      </c>
      <c r="E352" s="11" t="s">
        <v>107</v>
      </c>
      <c r="F352" s="11" t="str">
        <f t="shared" si="5"/>
        <v>No</v>
      </c>
    </row>
    <row r="353" spans="1:6" x14ac:dyDescent="0.3">
      <c r="A353" s="9" t="s">
        <v>7</v>
      </c>
      <c r="B353" s="9" t="s">
        <v>66</v>
      </c>
      <c r="C353" s="9" t="s">
        <v>102</v>
      </c>
      <c r="D353" s="9">
        <v>232</v>
      </c>
      <c r="E353" s="11" t="s">
        <v>107</v>
      </c>
      <c r="F353" s="11" t="str">
        <f t="shared" si="5"/>
        <v>No</v>
      </c>
    </row>
    <row r="354" spans="1:6" x14ac:dyDescent="0.3">
      <c r="A354" s="9" t="s">
        <v>7</v>
      </c>
      <c r="B354" s="9" t="s">
        <v>67</v>
      </c>
      <c r="C354" s="9" t="s">
        <v>102</v>
      </c>
      <c r="D354" s="9">
        <v>25</v>
      </c>
      <c r="E354" s="11" t="s">
        <v>107</v>
      </c>
      <c r="F354" s="11" t="str">
        <f t="shared" si="5"/>
        <v>No</v>
      </c>
    </row>
    <row r="355" spans="1:6" x14ac:dyDescent="0.3">
      <c r="A355" s="9" t="s">
        <v>7</v>
      </c>
      <c r="B355" s="9" t="s">
        <v>68</v>
      </c>
      <c r="C355" s="9" t="s">
        <v>102</v>
      </c>
      <c r="D355" s="9">
        <v>6</v>
      </c>
      <c r="E355" s="11" t="s">
        <v>107</v>
      </c>
      <c r="F355" s="11" t="str">
        <f t="shared" si="5"/>
        <v>No</v>
      </c>
    </row>
    <row r="356" spans="1:6" x14ac:dyDescent="0.3">
      <c r="A356" s="9" t="s">
        <v>7</v>
      </c>
      <c r="B356" s="9" t="s">
        <v>69</v>
      </c>
      <c r="C356" s="9" t="s">
        <v>102</v>
      </c>
      <c r="D356" s="9">
        <v>5</v>
      </c>
      <c r="E356" s="11" t="s">
        <v>107</v>
      </c>
      <c r="F356" s="11" t="str">
        <f t="shared" si="5"/>
        <v>No</v>
      </c>
    </row>
    <row r="357" spans="1:6" x14ac:dyDescent="0.3">
      <c r="A357" s="9" t="s">
        <v>7</v>
      </c>
      <c r="B357" s="9" t="s">
        <v>70</v>
      </c>
      <c r="C357" s="9" t="s">
        <v>102</v>
      </c>
      <c r="D357" s="9">
        <v>1</v>
      </c>
      <c r="E357" s="11" t="s">
        <v>107</v>
      </c>
      <c r="F357" s="11" t="str">
        <f t="shared" si="5"/>
        <v>No</v>
      </c>
    </row>
    <row r="358" spans="1:6" x14ac:dyDescent="0.3">
      <c r="A358" s="9" t="s">
        <v>7</v>
      </c>
      <c r="B358" s="9" t="s">
        <v>75</v>
      </c>
      <c r="C358" s="9" t="s">
        <v>103</v>
      </c>
      <c r="D358" s="9">
        <v>0</v>
      </c>
      <c r="E358" s="11" t="s">
        <v>105</v>
      </c>
      <c r="F358" s="11" t="str">
        <f t="shared" si="5"/>
        <v>Yes</v>
      </c>
    </row>
    <row r="359" spans="1:6" x14ac:dyDescent="0.3">
      <c r="A359" s="9" t="s">
        <v>8</v>
      </c>
      <c r="B359" s="9" t="s">
        <v>88</v>
      </c>
      <c r="C359" s="9" t="s">
        <v>92</v>
      </c>
      <c r="D359" s="9">
        <v>9</v>
      </c>
      <c r="E359" s="11" t="s">
        <v>105</v>
      </c>
      <c r="F359" s="11" t="str">
        <f t="shared" si="5"/>
        <v>Yes</v>
      </c>
    </row>
    <row r="360" spans="1:6" x14ac:dyDescent="0.3">
      <c r="A360" s="9" t="s">
        <v>8</v>
      </c>
      <c r="B360" s="9" t="s">
        <v>38</v>
      </c>
      <c r="C360" s="9" t="s">
        <v>93</v>
      </c>
      <c r="D360" s="9">
        <v>207</v>
      </c>
      <c r="E360" s="11" t="s">
        <v>105</v>
      </c>
      <c r="F360" s="11" t="str">
        <f t="shared" si="5"/>
        <v>Yes</v>
      </c>
    </row>
    <row r="361" spans="1:6" x14ac:dyDescent="0.3">
      <c r="A361" s="9" t="s">
        <v>8</v>
      </c>
      <c r="B361" s="9" t="s">
        <v>87</v>
      </c>
      <c r="C361" s="9" t="s">
        <v>94</v>
      </c>
      <c r="D361" s="9">
        <v>178</v>
      </c>
      <c r="E361" s="11" t="s">
        <v>105</v>
      </c>
      <c r="F361" s="11" t="str">
        <f t="shared" si="5"/>
        <v>Yes</v>
      </c>
    </row>
    <row r="362" spans="1:6" x14ac:dyDescent="0.3">
      <c r="A362" s="9" t="s">
        <v>8</v>
      </c>
      <c r="B362" s="9" t="s">
        <v>86</v>
      </c>
      <c r="C362" s="9" t="s">
        <v>86</v>
      </c>
      <c r="D362" s="9">
        <v>50</v>
      </c>
      <c r="E362" s="11" t="s">
        <v>105</v>
      </c>
      <c r="F362" s="11" t="str">
        <f t="shared" si="5"/>
        <v>Yes</v>
      </c>
    </row>
    <row r="363" spans="1:6" x14ac:dyDescent="0.3">
      <c r="A363" s="9" t="s">
        <v>8</v>
      </c>
      <c r="B363" s="9" t="s">
        <v>85</v>
      </c>
      <c r="C363" s="9" t="s">
        <v>85</v>
      </c>
      <c r="D363" s="9">
        <v>3</v>
      </c>
      <c r="E363" s="11" t="s">
        <v>105</v>
      </c>
      <c r="F363" s="11" t="str">
        <f t="shared" si="5"/>
        <v>Yes</v>
      </c>
    </row>
    <row r="364" spans="1:6" x14ac:dyDescent="0.3">
      <c r="A364" s="9" t="s">
        <v>8</v>
      </c>
      <c r="B364" s="9" t="s">
        <v>84</v>
      </c>
      <c r="C364" s="9" t="s">
        <v>85</v>
      </c>
      <c r="D364" s="9">
        <v>1</v>
      </c>
      <c r="E364" s="11" t="s">
        <v>105</v>
      </c>
      <c r="F364" s="11" t="str">
        <f t="shared" si="5"/>
        <v>Yes</v>
      </c>
    </row>
    <row r="365" spans="1:6" x14ac:dyDescent="0.3">
      <c r="A365" s="9" t="s">
        <v>8</v>
      </c>
      <c r="B365" s="9" t="s">
        <v>83</v>
      </c>
      <c r="C365" s="9" t="s">
        <v>95</v>
      </c>
      <c r="D365" s="9">
        <v>5191</v>
      </c>
      <c r="E365" s="11" t="s">
        <v>105</v>
      </c>
      <c r="F365" s="11" t="str">
        <f t="shared" si="5"/>
        <v>Yes</v>
      </c>
    </row>
    <row r="366" spans="1:6" x14ac:dyDescent="0.3">
      <c r="A366" s="9" t="s">
        <v>8</v>
      </c>
      <c r="B366" s="9" t="s">
        <v>39</v>
      </c>
      <c r="C366" s="9" t="s">
        <v>40</v>
      </c>
      <c r="D366" s="9">
        <v>3204</v>
      </c>
      <c r="E366" s="11" t="s">
        <v>106</v>
      </c>
      <c r="F366" s="11" t="str">
        <f t="shared" si="5"/>
        <v>Yes</v>
      </c>
    </row>
    <row r="367" spans="1:6" x14ac:dyDescent="0.3">
      <c r="A367" s="9" t="s">
        <v>8</v>
      </c>
      <c r="B367" s="9" t="s">
        <v>40</v>
      </c>
      <c r="C367" s="9" t="s">
        <v>40</v>
      </c>
      <c r="D367" s="9">
        <v>366</v>
      </c>
      <c r="E367" s="11" t="s">
        <v>107</v>
      </c>
      <c r="F367" s="11" t="str">
        <f t="shared" si="5"/>
        <v>No</v>
      </c>
    </row>
    <row r="368" spans="1:6" x14ac:dyDescent="0.3">
      <c r="A368" s="9" t="s">
        <v>8</v>
      </c>
      <c r="B368" s="9" t="s">
        <v>41</v>
      </c>
      <c r="C368" s="9" t="s">
        <v>40</v>
      </c>
      <c r="D368" s="9">
        <v>3</v>
      </c>
      <c r="E368" s="11" t="s">
        <v>107</v>
      </c>
      <c r="F368" s="11" t="str">
        <f t="shared" si="5"/>
        <v>No</v>
      </c>
    </row>
    <row r="369" spans="1:6" x14ac:dyDescent="0.3">
      <c r="A369" s="9" t="s">
        <v>8</v>
      </c>
      <c r="B369" s="9" t="s">
        <v>42</v>
      </c>
      <c r="C369" s="9" t="s">
        <v>40</v>
      </c>
      <c r="D369" s="9">
        <v>0</v>
      </c>
      <c r="E369" s="11" t="s">
        <v>107</v>
      </c>
      <c r="F369" s="11" t="str">
        <f t="shared" si="5"/>
        <v>No</v>
      </c>
    </row>
    <row r="370" spans="1:6" x14ac:dyDescent="0.3">
      <c r="A370" s="9" t="s">
        <v>8</v>
      </c>
      <c r="B370" s="9" t="s">
        <v>43</v>
      </c>
      <c r="C370" s="9" t="s">
        <v>40</v>
      </c>
      <c r="D370" s="9">
        <v>968</v>
      </c>
      <c r="E370" s="11" t="s">
        <v>106</v>
      </c>
      <c r="F370" s="11" t="str">
        <f t="shared" si="5"/>
        <v>No</v>
      </c>
    </row>
    <row r="371" spans="1:6" x14ac:dyDescent="0.3">
      <c r="A371" s="9" t="s">
        <v>8</v>
      </c>
      <c r="B371" s="9" t="s">
        <v>44</v>
      </c>
      <c r="C371" s="9" t="s">
        <v>40</v>
      </c>
      <c r="D371" s="9">
        <v>656</v>
      </c>
      <c r="E371" s="11" t="s">
        <v>107</v>
      </c>
      <c r="F371" s="11" t="str">
        <f t="shared" si="5"/>
        <v>No</v>
      </c>
    </row>
    <row r="372" spans="1:6" x14ac:dyDescent="0.3">
      <c r="A372" s="9" t="s">
        <v>8</v>
      </c>
      <c r="B372" s="9" t="s">
        <v>45</v>
      </c>
      <c r="C372" s="9" t="s">
        <v>40</v>
      </c>
      <c r="D372" s="9">
        <v>312</v>
      </c>
      <c r="E372" s="11" t="s">
        <v>107</v>
      </c>
      <c r="F372" s="11" t="str">
        <f t="shared" si="5"/>
        <v>No</v>
      </c>
    </row>
    <row r="373" spans="1:6" x14ac:dyDescent="0.3">
      <c r="A373" s="9" t="s">
        <v>8</v>
      </c>
      <c r="B373" s="9" t="s">
        <v>71</v>
      </c>
      <c r="C373" s="9" t="s">
        <v>40</v>
      </c>
      <c r="D373" s="9">
        <v>788</v>
      </c>
      <c r="E373" s="11" t="s">
        <v>105</v>
      </c>
      <c r="F373" s="11" t="str">
        <f t="shared" si="5"/>
        <v>Yes</v>
      </c>
    </row>
    <row r="374" spans="1:6" x14ac:dyDescent="0.3">
      <c r="A374" s="9" t="s">
        <v>8</v>
      </c>
      <c r="B374" s="9" t="s">
        <v>72</v>
      </c>
      <c r="C374" s="9" t="s">
        <v>40</v>
      </c>
      <c r="D374" s="9">
        <v>0</v>
      </c>
      <c r="E374" s="11" t="s">
        <v>105</v>
      </c>
      <c r="F374" s="11" t="str">
        <f t="shared" si="5"/>
        <v>Yes</v>
      </c>
    </row>
    <row r="375" spans="1:6" x14ac:dyDescent="0.3">
      <c r="A375" s="9" t="s">
        <v>8</v>
      </c>
      <c r="B375" s="9" t="s">
        <v>82</v>
      </c>
      <c r="C375" s="9" t="s">
        <v>40</v>
      </c>
      <c r="D375" s="9">
        <v>1079</v>
      </c>
      <c r="E375" s="11" t="s">
        <v>105</v>
      </c>
      <c r="F375" s="11" t="str">
        <f t="shared" si="5"/>
        <v>Yes</v>
      </c>
    </row>
    <row r="376" spans="1:6" x14ac:dyDescent="0.3">
      <c r="A376" s="9" t="s">
        <v>8</v>
      </c>
      <c r="B376" s="9" t="s">
        <v>81</v>
      </c>
      <c r="C376" s="9" t="s">
        <v>81</v>
      </c>
      <c r="D376" s="9">
        <v>32</v>
      </c>
      <c r="E376" s="11" t="s">
        <v>105</v>
      </c>
      <c r="F376" s="11" t="str">
        <f t="shared" si="5"/>
        <v>Yes</v>
      </c>
    </row>
    <row r="377" spans="1:6" x14ac:dyDescent="0.3">
      <c r="A377" s="9" t="s">
        <v>8</v>
      </c>
      <c r="B377" s="9" t="s">
        <v>73</v>
      </c>
      <c r="C377" s="9" t="s">
        <v>81</v>
      </c>
      <c r="D377" s="9">
        <v>0</v>
      </c>
      <c r="E377" s="11" t="s">
        <v>105</v>
      </c>
      <c r="F377" s="11" t="str">
        <f t="shared" si="5"/>
        <v>Yes</v>
      </c>
    </row>
    <row r="378" spans="1:6" x14ac:dyDescent="0.3">
      <c r="A378" s="9" t="s">
        <v>8</v>
      </c>
      <c r="B378" s="9" t="s">
        <v>80</v>
      </c>
      <c r="C378" s="9" t="s">
        <v>81</v>
      </c>
      <c r="D378" s="9">
        <v>0</v>
      </c>
      <c r="E378" s="11" t="s">
        <v>105</v>
      </c>
      <c r="F378" s="11" t="str">
        <f t="shared" si="5"/>
        <v>Yes</v>
      </c>
    </row>
    <row r="379" spans="1:6" x14ac:dyDescent="0.3">
      <c r="A379" s="9" t="s">
        <v>8</v>
      </c>
      <c r="B379" s="9" t="s">
        <v>79</v>
      </c>
      <c r="C379" s="9" t="s">
        <v>96</v>
      </c>
      <c r="D379" s="9">
        <v>1772</v>
      </c>
      <c r="E379" s="11" t="s">
        <v>106</v>
      </c>
      <c r="F379" s="11" t="str">
        <f t="shared" si="5"/>
        <v>Yes</v>
      </c>
    </row>
    <row r="380" spans="1:6" x14ac:dyDescent="0.3">
      <c r="A380" s="9" t="s">
        <v>8</v>
      </c>
      <c r="B380" s="9" t="s">
        <v>46</v>
      </c>
      <c r="C380" s="9" t="s">
        <v>96</v>
      </c>
      <c r="D380" s="9">
        <v>1769</v>
      </c>
      <c r="E380" s="11" t="s">
        <v>107</v>
      </c>
      <c r="F380" s="11" t="str">
        <f t="shared" si="5"/>
        <v>No</v>
      </c>
    </row>
    <row r="381" spans="1:6" x14ac:dyDescent="0.3">
      <c r="A381" s="9" t="s">
        <v>8</v>
      </c>
      <c r="B381" s="9" t="s">
        <v>47</v>
      </c>
      <c r="C381" s="9" t="s">
        <v>96</v>
      </c>
      <c r="D381" s="9">
        <v>3</v>
      </c>
      <c r="E381" s="11" t="s">
        <v>107</v>
      </c>
      <c r="F381" s="11" t="str">
        <f t="shared" si="5"/>
        <v>No</v>
      </c>
    </row>
    <row r="382" spans="1:6" x14ac:dyDescent="0.3">
      <c r="A382" s="9" t="s">
        <v>8</v>
      </c>
      <c r="B382" s="9" t="s">
        <v>48</v>
      </c>
      <c r="C382" s="9" t="s">
        <v>97</v>
      </c>
      <c r="D382" s="9">
        <v>199</v>
      </c>
      <c r="E382" s="11" t="s">
        <v>106</v>
      </c>
      <c r="F382" s="11" t="str">
        <f t="shared" si="5"/>
        <v>Yes</v>
      </c>
    </row>
    <row r="383" spans="1:6" x14ac:dyDescent="0.3">
      <c r="A383" s="9" t="s">
        <v>8</v>
      </c>
      <c r="B383" s="9" t="s">
        <v>49</v>
      </c>
      <c r="C383" s="9" t="s">
        <v>97</v>
      </c>
      <c r="D383" s="9">
        <v>199</v>
      </c>
      <c r="E383" s="11" t="s">
        <v>107</v>
      </c>
      <c r="F383" s="11" t="str">
        <f t="shared" si="5"/>
        <v>No</v>
      </c>
    </row>
    <row r="384" spans="1:6" x14ac:dyDescent="0.3">
      <c r="A384" s="9" t="s">
        <v>8</v>
      </c>
      <c r="B384" s="9" t="s">
        <v>50</v>
      </c>
      <c r="C384" s="9" t="s">
        <v>97</v>
      </c>
      <c r="D384" s="9">
        <v>0</v>
      </c>
      <c r="E384" s="11" t="s">
        <v>107</v>
      </c>
      <c r="F384" s="11" t="str">
        <f t="shared" si="5"/>
        <v>No</v>
      </c>
    </row>
    <row r="385" spans="1:6" x14ac:dyDescent="0.3">
      <c r="A385" s="9" t="s">
        <v>8</v>
      </c>
      <c r="B385" s="9" t="s">
        <v>51</v>
      </c>
      <c r="C385" s="9" t="s">
        <v>99</v>
      </c>
      <c r="D385" s="9">
        <v>2265</v>
      </c>
      <c r="E385" s="11" t="s">
        <v>106</v>
      </c>
      <c r="F385" s="11" t="str">
        <f t="shared" si="5"/>
        <v>Yes</v>
      </c>
    </row>
    <row r="386" spans="1:6" x14ac:dyDescent="0.3">
      <c r="A386" s="9" t="s">
        <v>8</v>
      </c>
      <c r="B386" s="9" t="s">
        <v>52</v>
      </c>
      <c r="C386" s="9" t="s">
        <v>99</v>
      </c>
      <c r="D386" s="9">
        <v>2239</v>
      </c>
      <c r="E386" s="11" t="s">
        <v>107</v>
      </c>
      <c r="F386" s="11" t="str">
        <f t="shared" ref="F386:F449" si="6">IF(E386="Standalone","Yes",IF(AND(E386="Total",OR(B386="Kidnapping &amp; Abduction (Total)",B386="Rape (Total)",B386="Attempt to Rape (Total)",B386="Assault to Outrage Modesty (Total)",B386="Insult to Modesty (Total)",B386="Immoral Traffic (Prevention) Act (Total)",B386="Women-Centric Cyber Crime (Total)",B386="POCSO (Protection of Children from Sexual Offences Act) (Total)")),"Yes","No"))</f>
        <v>No</v>
      </c>
    </row>
    <row r="387" spans="1:6" x14ac:dyDescent="0.3">
      <c r="A387" s="9" t="s">
        <v>8</v>
      </c>
      <c r="B387" s="9" t="s">
        <v>53</v>
      </c>
      <c r="C387" s="9" t="s">
        <v>99</v>
      </c>
      <c r="D387" s="9">
        <v>26</v>
      </c>
      <c r="E387" s="11" t="s">
        <v>107</v>
      </c>
      <c r="F387" s="11" t="str">
        <f t="shared" si="6"/>
        <v>No</v>
      </c>
    </row>
    <row r="388" spans="1:6" x14ac:dyDescent="0.3">
      <c r="A388" s="9" t="s">
        <v>8</v>
      </c>
      <c r="B388" s="9" t="s">
        <v>54</v>
      </c>
      <c r="C388" s="9" t="s">
        <v>98</v>
      </c>
      <c r="D388" s="9">
        <v>443</v>
      </c>
      <c r="E388" s="11" t="s">
        <v>106</v>
      </c>
      <c r="F388" s="11" t="str">
        <f t="shared" si="6"/>
        <v>Yes</v>
      </c>
    </row>
    <row r="389" spans="1:6" x14ac:dyDescent="0.3">
      <c r="A389" s="9" t="s">
        <v>8</v>
      </c>
      <c r="B389" s="9" t="s">
        <v>55</v>
      </c>
      <c r="C389" s="9" t="s">
        <v>98</v>
      </c>
      <c r="D389" s="9">
        <v>442</v>
      </c>
      <c r="E389" s="11" t="s">
        <v>107</v>
      </c>
      <c r="F389" s="11" t="str">
        <f t="shared" si="6"/>
        <v>No</v>
      </c>
    </row>
    <row r="390" spans="1:6" x14ac:dyDescent="0.3">
      <c r="A390" s="9" t="s">
        <v>8</v>
      </c>
      <c r="B390" s="9" t="s">
        <v>56</v>
      </c>
      <c r="C390" s="9" t="s">
        <v>98</v>
      </c>
      <c r="D390" s="9">
        <v>1</v>
      </c>
      <c r="E390" s="11" t="s">
        <v>107</v>
      </c>
      <c r="F390" s="11" t="str">
        <f t="shared" si="6"/>
        <v>No</v>
      </c>
    </row>
    <row r="391" spans="1:6" x14ac:dyDescent="0.3">
      <c r="A391" s="9" t="s">
        <v>8</v>
      </c>
      <c r="B391" s="9" t="s">
        <v>74</v>
      </c>
      <c r="C391" s="9" t="s">
        <v>74</v>
      </c>
      <c r="D391" s="9">
        <v>14</v>
      </c>
      <c r="E391" s="11" t="s">
        <v>105</v>
      </c>
      <c r="F391" s="11" t="str">
        <f t="shared" si="6"/>
        <v>Yes</v>
      </c>
    </row>
    <row r="392" spans="1:6" x14ac:dyDescent="0.3">
      <c r="A392" s="9" t="s">
        <v>8</v>
      </c>
      <c r="B392" s="9" t="s">
        <v>57</v>
      </c>
      <c r="C392" s="9" t="s">
        <v>100</v>
      </c>
      <c r="D392" s="9">
        <v>38</v>
      </c>
      <c r="E392" s="11" t="s">
        <v>106</v>
      </c>
      <c r="F392" s="11" t="str">
        <f t="shared" si="6"/>
        <v>Yes</v>
      </c>
    </row>
    <row r="393" spans="1:6" x14ac:dyDescent="0.3">
      <c r="A393" s="9" t="s">
        <v>8</v>
      </c>
      <c r="B393" s="9" t="s">
        <v>76</v>
      </c>
      <c r="C393" s="9" t="s">
        <v>100</v>
      </c>
      <c r="D393" s="9">
        <v>11</v>
      </c>
      <c r="E393" s="11" t="s">
        <v>107</v>
      </c>
      <c r="F393" s="11" t="str">
        <f t="shared" si="6"/>
        <v>No</v>
      </c>
    </row>
    <row r="394" spans="1:6" x14ac:dyDescent="0.3">
      <c r="A394" s="9" t="s">
        <v>8</v>
      </c>
      <c r="B394" s="9" t="s">
        <v>58</v>
      </c>
      <c r="C394" s="9" t="s">
        <v>100</v>
      </c>
      <c r="D394" s="9">
        <v>2</v>
      </c>
      <c r="E394" s="11" t="s">
        <v>107</v>
      </c>
      <c r="F394" s="11" t="str">
        <f t="shared" si="6"/>
        <v>No</v>
      </c>
    </row>
    <row r="395" spans="1:6" x14ac:dyDescent="0.3">
      <c r="A395" s="9" t="s">
        <v>8</v>
      </c>
      <c r="B395" s="9" t="s">
        <v>59</v>
      </c>
      <c r="C395" s="9" t="s">
        <v>100</v>
      </c>
      <c r="D395" s="9">
        <v>9</v>
      </c>
      <c r="E395" s="11" t="s">
        <v>107</v>
      </c>
      <c r="F395" s="11" t="str">
        <f t="shared" si="6"/>
        <v>No</v>
      </c>
    </row>
    <row r="396" spans="1:6" x14ac:dyDescent="0.3">
      <c r="A396" s="9" t="s">
        <v>8</v>
      </c>
      <c r="B396" s="9" t="s">
        <v>60</v>
      </c>
      <c r="C396" s="9" t="s">
        <v>100</v>
      </c>
      <c r="D396" s="9">
        <v>0</v>
      </c>
      <c r="E396" s="11" t="s">
        <v>107</v>
      </c>
      <c r="F396" s="11" t="str">
        <f t="shared" si="6"/>
        <v>No</v>
      </c>
    </row>
    <row r="397" spans="1:6" x14ac:dyDescent="0.3">
      <c r="A397" s="9" t="s">
        <v>8</v>
      </c>
      <c r="B397" s="9" t="s">
        <v>61</v>
      </c>
      <c r="C397" s="9" t="s">
        <v>100</v>
      </c>
      <c r="D397" s="9">
        <v>16</v>
      </c>
      <c r="E397" s="11" t="s">
        <v>107</v>
      </c>
      <c r="F397" s="11" t="str">
        <f t="shared" si="6"/>
        <v>No</v>
      </c>
    </row>
    <row r="398" spans="1:6" x14ac:dyDescent="0.3">
      <c r="A398" s="9" t="s">
        <v>8</v>
      </c>
      <c r="B398" s="9" t="s">
        <v>78</v>
      </c>
      <c r="C398" s="9" t="s">
        <v>95</v>
      </c>
      <c r="D398" s="9">
        <v>5</v>
      </c>
      <c r="E398" s="11" t="s">
        <v>105</v>
      </c>
      <c r="F398" s="11" t="str">
        <f t="shared" si="6"/>
        <v>Yes</v>
      </c>
    </row>
    <row r="399" spans="1:6" x14ac:dyDescent="0.3">
      <c r="A399" s="9" t="s">
        <v>8</v>
      </c>
      <c r="B399" s="9" t="s">
        <v>62</v>
      </c>
      <c r="C399" s="9" t="s">
        <v>101</v>
      </c>
      <c r="D399" s="9">
        <v>103</v>
      </c>
      <c r="E399" s="11" t="s">
        <v>106</v>
      </c>
      <c r="F399" s="11" t="str">
        <f t="shared" si="6"/>
        <v>Yes</v>
      </c>
    </row>
    <row r="400" spans="1:6" x14ac:dyDescent="0.3">
      <c r="A400" s="9" t="s">
        <v>8</v>
      </c>
      <c r="B400" s="9" t="s">
        <v>63</v>
      </c>
      <c r="C400" s="9" t="s">
        <v>101</v>
      </c>
      <c r="D400" s="9">
        <v>96</v>
      </c>
      <c r="E400" s="11" t="s">
        <v>107</v>
      </c>
      <c r="F400" s="11" t="str">
        <f t="shared" si="6"/>
        <v>No</v>
      </c>
    </row>
    <row r="401" spans="1:6" x14ac:dyDescent="0.3">
      <c r="A401" s="9" t="s">
        <v>8</v>
      </c>
      <c r="B401" s="9" t="s">
        <v>64</v>
      </c>
      <c r="C401" s="9" t="s">
        <v>101</v>
      </c>
      <c r="D401" s="9">
        <v>7</v>
      </c>
      <c r="E401" s="11" t="s">
        <v>107</v>
      </c>
      <c r="F401" s="11" t="str">
        <f t="shared" si="6"/>
        <v>No</v>
      </c>
    </row>
    <row r="402" spans="1:6" x14ac:dyDescent="0.3">
      <c r="A402" s="9" t="s">
        <v>8</v>
      </c>
      <c r="B402" s="9" t="s">
        <v>77</v>
      </c>
      <c r="C402" s="9" t="s">
        <v>102</v>
      </c>
      <c r="D402" s="9">
        <v>2044</v>
      </c>
      <c r="E402" s="11" t="s">
        <v>106</v>
      </c>
      <c r="F402" s="11" t="str">
        <f t="shared" si="6"/>
        <v>Yes</v>
      </c>
    </row>
    <row r="403" spans="1:6" x14ac:dyDescent="0.3">
      <c r="A403" s="9" t="s">
        <v>8</v>
      </c>
      <c r="B403" s="9" t="s">
        <v>65</v>
      </c>
      <c r="C403" s="9" t="s">
        <v>102</v>
      </c>
      <c r="D403" s="9">
        <v>1372</v>
      </c>
      <c r="E403" s="11" t="s">
        <v>107</v>
      </c>
      <c r="F403" s="11" t="str">
        <f t="shared" si="6"/>
        <v>No</v>
      </c>
    </row>
    <row r="404" spans="1:6" x14ac:dyDescent="0.3">
      <c r="A404" s="9" t="s">
        <v>8</v>
      </c>
      <c r="B404" s="9" t="s">
        <v>66</v>
      </c>
      <c r="C404" s="9" t="s">
        <v>102</v>
      </c>
      <c r="D404" s="9">
        <v>521</v>
      </c>
      <c r="E404" s="11" t="s">
        <v>107</v>
      </c>
      <c r="F404" s="11" t="str">
        <f t="shared" si="6"/>
        <v>No</v>
      </c>
    </row>
    <row r="405" spans="1:6" x14ac:dyDescent="0.3">
      <c r="A405" s="9" t="s">
        <v>8</v>
      </c>
      <c r="B405" s="9" t="s">
        <v>67</v>
      </c>
      <c r="C405" s="9" t="s">
        <v>102</v>
      </c>
      <c r="D405" s="9">
        <v>124</v>
      </c>
      <c r="E405" s="11" t="s">
        <v>107</v>
      </c>
      <c r="F405" s="11" t="str">
        <f t="shared" si="6"/>
        <v>No</v>
      </c>
    </row>
    <row r="406" spans="1:6" x14ac:dyDescent="0.3">
      <c r="A406" s="9" t="s">
        <v>8</v>
      </c>
      <c r="B406" s="9" t="s">
        <v>68</v>
      </c>
      <c r="C406" s="9" t="s">
        <v>102</v>
      </c>
      <c r="D406" s="9">
        <v>4</v>
      </c>
      <c r="E406" s="11" t="s">
        <v>107</v>
      </c>
      <c r="F406" s="11" t="str">
        <f t="shared" si="6"/>
        <v>No</v>
      </c>
    </row>
    <row r="407" spans="1:6" x14ac:dyDescent="0.3">
      <c r="A407" s="9" t="s">
        <v>8</v>
      </c>
      <c r="B407" s="9" t="s">
        <v>69</v>
      </c>
      <c r="C407" s="9" t="s">
        <v>102</v>
      </c>
      <c r="D407" s="9">
        <v>23</v>
      </c>
      <c r="E407" s="11" t="s">
        <v>107</v>
      </c>
      <c r="F407" s="11" t="str">
        <f t="shared" si="6"/>
        <v>No</v>
      </c>
    </row>
    <row r="408" spans="1:6" x14ac:dyDescent="0.3">
      <c r="A408" s="9" t="s">
        <v>8</v>
      </c>
      <c r="B408" s="9" t="s">
        <v>70</v>
      </c>
      <c r="C408" s="9" t="s">
        <v>102</v>
      </c>
      <c r="D408" s="9">
        <v>0</v>
      </c>
      <c r="E408" s="11" t="s">
        <v>107</v>
      </c>
      <c r="F408" s="11" t="str">
        <f t="shared" si="6"/>
        <v>No</v>
      </c>
    </row>
    <row r="409" spans="1:6" x14ac:dyDescent="0.3">
      <c r="A409" s="9" t="s">
        <v>8</v>
      </c>
      <c r="B409" s="9" t="s">
        <v>75</v>
      </c>
      <c r="C409" s="9" t="s">
        <v>103</v>
      </c>
      <c r="D409" s="9">
        <v>0</v>
      </c>
      <c r="E409" s="11" t="s">
        <v>105</v>
      </c>
      <c r="F409" s="11" t="str">
        <f t="shared" si="6"/>
        <v>Yes</v>
      </c>
    </row>
    <row r="410" spans="1:6" x14ac:dyDescent="0.3">
      <c r="A410" s="9" t="s">
        <v>9</v>
      </c>
      <c r="B410" s="9" t="s">
        <v>88</v>
      </c>
      <c r="C410" s="9" t="s">
        <v>92</v>
      </c>
      <c r="D410" s="9">
        <v>6</v>
      </c>
      <c r="E410" s="11" t="s">
        <v>105</v>
      </c>
      <c r="F410" s="11" t="str">
        <f t="shared" si="6"/>
        <v>Yes</v>
      </c>
    </row>
    <row r="411" spans="1:6" x14ac:dyDescent="0.3">
      <c r="A411" s="9" t="s">
        <v>9</v>
      </c>
      <c r="B411" s="9" t="s">
        <v>38</v>
      </c>
      <c r="C411" s="9" t="s">
        <v>93</v>
      </c>
      <c r="D411" s="9">
        <v>0</v>
      </c>
      <c r="E411" s="11" t="s">
        <v>105</v>
      </c>
      <c r="F411" s="11" t="str">
        <f t="shared" si="6"/>
        <v>Yes</v>
      </c>
    </row>
    <row r="412" spans="1:6" x14ac:dyDescent="0.3">
      <c r="A412" s="9" t="s">
        <v>9</v>
      </c>
      <c r="B412" s="9" t="s">
        <v>87</v>
      </c>
      <c r="C412" s="9" t="s">
        <v>94</v>
      </c>
      <c r="D412" s="9">
        <v>39</v>
      </c>
      <c r="E412" s="11" t="s">
        <v>105</v>
      </c>
      <c r="F412" s="11" t="str">
        <f t="shared" si="6"/>
        <v>Yes</v>
      </c>
    </row>
    <row r="413" spans="1:6" x14ac:dyDescent="0.3">
      <c r="A413" s="9" t="s">
        <v>9</v>
      </c>
      <c r="B413" s="9" t="s">
        <v>86</v>
      </c>
      <c r="C413" s="9" t="s">
        <v>86</v>
      </c>
      <c r="D413" s="9">
        <v>0</v>
      </c>
      <c r="E413" s="11" t="s">
        <v>105</v>
      </c>
      <c r="F413" s="11" t="str">
        <f t="shared" si="6"/>
        <v>Yes</v>
      </c>
    </row>
    <row r="414" spans="1:6" x14ac:dyDescent="0.3">
      <c r="A414" s="9" t="s">
        <v>9</v>
      </c>
      <c r="B414" s="9" t="s">
        <v>85</v>
      </c>
      <c r="C414" s="9" t="s">
        <v>85</v>
      </c>
      <c r="D414" s="9">
        <v>0</v>
      </c>
      <c r="E414" s="11" t="s">
        <v>105</v>
      </c>
      <c r="F414" s="11" t="str">
        <f t="shared" si="6"/>
        <v>Yes</v>
      </c>
    </row>
    <row r="415" spans="1:6" x14ac:dyDescent="0.3">
      <c r="A415" s="9" t="s">
        <v>9</v>
      </c>
      <c r="B415" s="9" t="s">
        <v>84</v>
      </c>
      <c r="C415" s="9" t="s">
        <v>85</v>
      </c>
      <c r="D415" s="9">
        <v>0</v>
      </c>
      <c r="E415" s="11" t="s">
        <v>105</v>
      </c>
      <c r="F415" s="11" t="str">
        <f t="shared" si="6"/>
        <v>Yes</v>
      </c>
    </row>
    <row r="416" spans="1:6" x14ac:dyDescent="0.3">
      <c r="A416" s="9" t="s">
        <v>9</v>
      </c>
      <c r="B416" s="9" t="s">
        <v>83</v>
      </c>
      <c r="C416" s="9" t="s">
        <v>95</v>
      </c>
      <c r="D416" s="9">
        <v>217</v>
      </c>
      <c r="E416" s="11" t="s">
        <v>105</v>
      </c>
      <c r="F416" s="11" t="str">
        <f t="shared" si="6"/>
        <v>Yes</v>
      </c>
    </row>
    <row r="417" spans="1:6" x14ac:dyDescent="0.3">
      <c r="A417" s="9" t="s">
        <v>9</v>
      </c>
      <c r="B417" s="9" t="s">
        <v>39</v>
      </c>
      <c r="C417" s="9" t="s">
        <v>40</v>
      </c>
      <c r="D417" s="9">
        <v>351</v>
      </c>
      <c r="E417" s="11" t="s">
        <v>106</v>
      </c>
      <c r="F417" s="11" t="str">
        <f t="shared" si="6"/>
        <v>Yes</v>
      </c>
    </row>
    <row r="418" spans="1:6" x14ac:dyDescent="0.3">
      <c r="A418" s="9" t="s">
        <v>9</v>
      </c>
      <c r="B418" s="9" t="s">
        <v>40</v>
      </c>
      <c r="C418" s="9" t="s">
        <v>40</v>
      </c>
      <c r="D418" s="9">
        <v>200</v>
      </c>
      <c r="E418" s="11" t="s">
        <v>107</v>
      </c>
      <c r="F418" s="11" t="str">
        <f t="shared" si="6"/>
        <v>No</v>
      </c>
    </row>
    <row r="419" spans="1:6" x14ac:dyDescent="0.3">
      <c r="A419" s="9" t="s">
        <v>9</v>
      </c>
      <c r="B419" s="9" t="s">
        <v>41</v>
      </c>
      <c r="C419" s="9" t="s">
        <v>40</v>
      </c>
      <c r="D419" s="9">
        <v>0</v>
      </c>
      <c r="E419" s="11" t="s">
        <v>107</v>
      </c>
      <c r="F419" s="11" t="str">
        <f t="shared" si="6"/>
        <v>No</v>
      </c>
    </row>
    <row r="420" spans="1:6" x14ac:dyDescent="0.3">
      <c r="A420" s="9" t="s">
        <v>9</v>
      </c>
      <c r="B420" s="9" t="s">
        <v>42</v>
      </c>
      <c r="C420" s="9" t="s">
        <v>40</v>
      </c>
      <c r="D420" s="9">
        <v>0</v>
      </c>
      <c r="E420" s="11" t="s">
        <v>107</v>
      </c>
      <c r="F420" s="11" t="str">
        <f t="shared" si="6"/>
        <v>No</v>
      </c>
    </row>
    <row r="421" spans="1:6" x14ac:dyDescent="0.3">
      <c r="A421" s="9" t="s">
        <v>9</v>
      </c>
      <c r="B421" s="9" t="s">
        <v>43</v>
      </c>
      <c r="C421" s="9" t="s">
        <v>40</v>
      </c>
      <c r="D421" s="9">
        <v>144</v>
      </c>
      <c r="E421" s="11" t="s">
        <v>106</v>
      </c>
      <c r="F421" s="11" t="str">
        <f t="shared" si="6"/>
        <v>No</v>
      </c>
    </row>
    <row r="422" spans="1:6" x14ac:dyDescent="0.3">
      <c r="A422" s="9" t="s">
        <v>9</v>
      </c>
      <c r="B422" s="9" t="s">
        <v>44</v>
      </c>
      <c r="C422" s="9" t="s">
        <v>40</v>
      </c>
      <c r="D422" s="9">
        <v>13</v>
      </c>
      <c r="E422" s="11" t="s">
        <v>107</v>
      </c>
      <c r="F422" s="11" t="str">
        <f t="shared" si="6"/>
        <v>No</v>
      </c>
    </row>
    <row r="423" spans="1:6" x14ac:dyDescent="0.3">
      <c r="A423" s="9" t="s">
        <v>9</v>
      </c>
      <c r="B423" s="9" t="s">
        <v>45</v>
      </c>
      <c r="C423" s="9" t="s">
        <v>40</v>
      </c>
      <c r="D423" s="9">
        <v>131</v>
      </c>
      <c r="E423" s="11" t="s">
        <v>107</v>
      </c>
      <c r="F423" s="11" t="str">
        <f t="shared" si="6"/>
        <v>No</v>
      </c>
    </row>
    <row r="424" spans="1:6" x14ac:dyDescent="0.3">
      <c r="A424" s="9" t="s">
        <v>9</v>
      </c>
      <c r="B424" s="9" t="s">
        <v>71</v>
      </c>
      <c r="C424" s="9" t="s">
        <v>40</v>
      </c>
      <c r="D424" s="9">
        <v>3</v>
      </c>
      <c r="E424" s="11" t="s">
        <v>105</v>
      </c>
      <c r="F424" s="11" t="str">
        <f t="shared" si="6"/>
        <v>Yes</v>
      </c>
    </row>
    <row r="425" spans="1:6" x14ac:dyDescent="0.3">
      <c r="A425" s="9" t="s">
        <v>9</v>
      </c>
      <c r="B425" s="9" t="s">
        <v>72</v>
      </c>
      <c r="C425" s="9" t="s">
        <v>40</v>
      </c>
      <c r="D425" s="9">
        <v>0</v>
      </c>
      <c r="E425" s="11" t="s">
        <v>105</v>
      </c>
      <c r="F425" s="11" t="str">
        <f t="shared" si="6"/>
        <v>Yes</v>
      </c>
    </row>
    <row r="426" spans="1:6" x14ac:dyDescent="0.3">
      <c r="A426" s="9" t="s">
        <v>9</v>
      </c>
      <c r="B426" s="9" t="s">
        <v>82</v>
      </c>
      <c r="C426" s="9" t="s">
        <v>40</v>
      </c>
      <c r="D426" s="9">
        <v>4</v>
      </c>
      <c r="E426" s="11" t="s">
        <v>105</v>
      </c>
      <c r="F426" s="11" t="str">
        <f t="shared" si="6"/>
        <v>Yes</v>
      </c>
    </row>
    <row r="427" spans="1:6" x14ac:dyDescent="0.3">
      <c r="A427" s="9" t="s">
        <v>9</v>
      </c>
      <c r="B427" s="9" t="s">
        <v>81</v>
      </c>
      <c r="C427" s="9" t="s">
        <v>81</v>
      </c>
      <c r="D427" s="9">
        <v>5</v>
      </c>
      <c r="E427" s="11" t="s">
        <v>105</v>
      </c>
      <c r="F427" s="11" t="str">
        <f t="shared" si="6"/>
        <v>Yes</v>
      </c>
    </row>
    <row r="428" spans="1:6" x14ac:dyDescent="0.3">
      <c r="A428" s="9" t="s">
        <v>9</v>
      </c>
      <c r="B428" s="9" t="s">
        <v>73</v>
      </c>
      <c r="C428" s="9" t="s">
        <v>81</v>
      </c>
      <c r="D428" s="9">
        <v>0</v>
      </c>
      <c r="E428" s="11" t="s">
        <v>105</v>
      </c>
      <c r="F428" s="11" t="str">
        <f t="shared" si="6"/>
        <v>Yes</v>
      </c>
    </row>
    <row r="429" spans="1:6" x14ac:dyDescent="0.3">
      <c r="A429" s="9" t="s">
        <v>9</v>
      </c>
      <c r="B429" s="9" t="s">
        <v>80</v>
      </c>
      <c r="C429" s="9" t="s">
        <v>81</v>
      </c>
      <c r="D429" s="9">
        <v>0</v>
      </c>
      <c r="E429" s="11" t="s">
        <v>105</v>
      </c>
      <c r="F429" s="11" t="str">
        <f t="shared" si="6"/>
        <v>Yes</v>
      </c>
    </row>
    <row r="430" spans="1:6" x14ac:dyDescent="0.3">
      <c r="A430" s="9" t="s">
        <v>9</v>
      </c>
      <c r="B430" s="9" t="s">
        <v>79</v>
      </c>
      <c r="C430" s="9" t="s">
        <v>96</v>
      </c>
      <c r="D430" s="9">
        <v>344</v>
      </c>
      <c r="E430" s="11" t="s">
        <v>106</v>
      </c>
      <c r="F430" s="11" t="str">
        <f t="shared" si="6"/>
        <v>Yes</v>
      </c>
    </row>
    <row r="431" spans="1:6" x14ac:dyDescent="0.3">
      <c r="A431" s="9" t="s">
        <v>9</v>
      </c>
      <c r="B431" s="9" t="s">
        <v>46</v>
      </c>
      <c r="C431" s="9" t="s">
        <v>96</v>
      </c>
      <c r="D431" s="9">
        <v>138</v>
      </c>
      <c r="E431" s="11" t="s">
        <v>107</v>
      </c>
      <c r="F431" s="11" t="str">
        <f t="shared" si="6"/>
        <v>No</v>
      </c>
    </row>
    <row r="432" spans="1:6" x14ac:dyDescent="0.3">
      <c r="A432" s="9" t="s">
        <v>9</v>
      </c>
      <c r="B432" s="9" t="s">
        <v>47</v>
      </c>
      <c r="C432" s="9" t="s">
        <v>96</v>
      </c>
      <c r="D432" s="9">
        <v>206</v>
      </c>
      <c r="E432" s="11" t="s">
        <v>107</v>
      </c>
      <c r="F432" s="11" t="str">
        <f t="shared" si="6"/>
        <v>No</v>
      </c>
    </row>
    <row r="433" spans="1:6" x14ac:dyDescent="0.3">
      <c r="A433" s="9" t="s">
        <v>9</v>
      </c>
      <c r="B433" s="9" t="s">
        <v>48</v>
      </c>
      <c r="C433" s="9" t="s">
        <v>97</v>
      </c>
      <c r="D433" s="9">
        <v>3</v>
      </c>
      <c r="E433" s="11" t="s">
        <v>106</v>
      </c>
      <c r="F433" s="11" t="str">
        <f t="shared" si="6"/>
        <v>Yes</v>
      </c>
    </row>
    <row r="434" spans="1:6" x14ac:dyDescent="0.3">
      <c r="A434" s="9" t="s">
        <v>9</v>
      </c>
      <c r="B434" s="9" t="s">
        <v>49</v>
      </c>
      <c r="C434" s="9" t="s">
        <v>97</v>
      </c>
      <c r="D434" s="9">
        <v>3</v>
      </c>
      <c r="E434" s="11" t="s">
        <v>107</v>
      </c>
      <c r="F434" s="11" t="str">
        <f t="shared" si="6"/>
        <v>No</v>
      </c>
    </row>
    <row r="435" spans="1:6" x14ac:dyDescent="0.3">
      <c r="A435" s="9" t="s">
        <v>9</v>
      </c>
      <c r="B435" s="9" t="s">
        <v>50</v>
      </c>
      <c r="C435" s="9" t="s">
        <v>97</v>
      </c>
      <c r="D435" s="9">
        <v>0</v>
      </c>
      <c r="E435" s="11" t="s">
        <v>107</v>
      </c>
      <c r="F435" s="11" t="str">
        <f t="shared" si="6"/>
        <v>No</v>
      </c>
    </row>
    <row r="436" spans="1:6" x14ac:dyDescent="0.3">
      <c r="A436" s="9" t="s">
        <v>9</v>
      </c>
      <c r="B436" s="9" t="s">
        <v>51</v>
      </c>
      <c r="C436" s="9" t="s">
        <v>99</v>
      </c>
      <c r="D436" s="9">
        <v>504</v>
      </c>
      <c r="E436" s="11" t="s">
        <v>106</v>
      </c>
      <c r="F436" s="11" t="str">
        <f t="shared" si="6"/>
        <v>Yes</v>
      </c>
    </row>
    <row r="437" spans="1:6" x14ac:dyDescent="0.3">
      <c r="A437" s="9" t="s">
        <v>9</v>
      </c>
      <c r="B437" s="9" t="s">
        <v>52</v>
      </c>
      <c r="C437" s="9" t="s">
        <v>99</v>
      </c>
      <c r="D437" s="9">
        <v>448</v>
      </c>
      <c r="E437" s="11" t="s">
        <v>107</v>
      </c>
      <c r="F437" s="11" t="str">
        <f t="shared" si="6"/>
        <v>No</v>
      </c>
    </row>
    <row r="438" spans="1:6" x14ac:dyDescent="0.3">
      <c r="A438" s="9" t="s">
        <v>9</v>
      </c>
      <c r="B438" s="9" t="s">
        <v>53</v>
      </c>
      <c r="C438" s="9" t="s">
        <v>99</v>
      </c>
      <c r="D438" s="9">
        <v>56</v>
      </c>
      <c r="E438" s="11" t="s">
        <v>107</v>
      </c>
      <c r="F438" s="11" t="str">
        <f t="shared" si="6"/>
        <v>No</v>
      </c>
    </row>
    <row r="439" spans="1:6" x14ac:dyDescent="0.3">
      <c r="A439" s="9" t="s">
        <v>9</v>
      </c>
      <c r="B439" s="9" t="s">
        <v>54</v>
      </c>
      <c r="C439" s="9" t="s">
        <v>98</v>
      </c>
      <c r="D439" s="9">
        <v>97</v>
      </c>
      <c r="E439" s="11" t="s">
        <v>106</v>
      </c>
      <c r="F439" s="11" t="str">
        <f t="shared" si="6"/>
        <v>Yes</v>
      </c>
    </row>
    <row r="440" spans="1:6" x14ac:dyDescent="0.3">
      <c r="A440" s="9" t="s">
        <v>9</v>
      </c>
      <c r="B440" s="9" t="s">
        <v>55</v>
      </c>
      <c r="C440" s="9" t="s">
        <v>98</v>
      </c>
      <c r="D440" s="9">
        <v>97</v>
      </c>
      <c r="E440" s="11" t="s">
        <v>107</v>
      </c>
      <c r="F440" s="11" t="str">
        <f t="shared" si="6"/>
        <v>No</v>
      </c>
    </row>
    <row r="441" spans="1:6" x14ac:dyDescent="0.3">
      <c r="A441" s="9" t="s">
        <v>9</v>
      </c>
      <c r="B441" s="9" t="s">
        <v>56</v>
      </c>
      <c r="C441" s="9" t="s">
        <v>98</v>
      </c>
      <c r="D441" s="9">
        <v>0</v>
      </c>
      <c r="E441" s="11" t="s">
        <v>107</v>
      </c>
      <c r="F441" s="11" t="str">
        <f t="shared" si="6"/>
        <v>No</v>
      </c>
    </row>
    <row r="442" spans="1:6" x14ac:dyDescent="0.3">
      <c r="A442" s="9" t="s">
        <v>9</v>
      </c>
      <c r="B442" s="9" t="s">
        <v>74</v>
      </c>
      <c r="C442" s="9" t="s">
        <v>74</v>
      </c>
      <c r="D442" s="9">
        <v>2</v>
      </c>
      <c r="E442" s="11" t="s">
        <v>105</v>
      </c>
      <c r="F442" s="11" t="str">
        <f t="shared" si="6"/>
        <v>Yes</v>
      </c>
    </row>
    <row r="443" spans="1:6" x14ac:dyDescent="0.3">
      <c r="A443" s="9" t="s">
        <v>9</v>
      </c>
      <c r="B443" s="9" t="s">
        <v>57</v>
      </c>
      <c r="C443" s="9" t="s">
        <v>100</v>
      </c>
      <c r="D443" s="9">
        <v>10</v>
      </c>
      <c r="E443" s="11" t="s">
        <v>106</v>
      </c>
      <c r="F443" s="11" t="str">
        <f t="shared" si="6"/>
        <v>Yes</v>
      </c>
    </row>
    <row r="444" spans="1:6" x14ac:dyDescent="0.3">
      <c r="A444" s="9" t="s">
        <v>9</v>
      </c>
      <c r="B444" s="9" t="s">
        <v>76</v>
      </c>
      <c r="C444" s="9" t="s">
        <v>100</v>
      </c>
      <c r="D444" s="9">
        <v>6</v>
      </c>
      <c r="E444" s="11" t="s">
        <v>107</v>
      </c>
      <c r="F444" s="11" t="str">
        <f t="shared" si="6"/>
        <v>No</v>
      </c>
    </row>
    <row r="445" spans="1:6" x14ac:dyDescent="0.3">
      <c r="A445" s="9" t="s">
        <v>9</v>
      </c>
      <c r="B445" s="9" t="s">
        <v>58</v>
      </c>
      <c r="C445" s="9" t="s">
        <v>100</v>
      </c>
      <c r="D445" s="9">
        <v>0</v>
      </c>
      <c r="E445" s="11" t="s">
        <v>107</v>
      </c>
      <c r="F445" s="11" t="str">
        <f t="shared" si="6"/>
        <v>No</v>
      </c>
    </row>
    <row r="446" spans="1:6" x14ac:dyDescent="0.3">
      <c r="A446" s="9" t="s">
        <v>9</v>
      </c>
      <c r="B446" s="9" t="s">
        <v>59</v>
      </c>
      <c r="C446" s="9" t="s">
        <v>100</v>
      </c>
      <c r="D446" s="9">
        <v>0</v>
      </c>
      <c r="E446" s="11" t="s">
        <v>107</v>
      </c>
      <c r="F446" s="11" t="str">
        <f t="shared" si="6"/>
        <v>No</v>
      </c>
    </row>
    <row r="447" spans="1:6" x14ac:dyDescent="0.3">
      <c r="A447" s="9" t="s">
        <v>9</v>
      </c>
      <c r="B447" s="9" t="s">
        <v>60</v>
      </c>
      <c r="C447" s="9" t="s">
        <v>100</v>
      </c>
      <c r="D447" s="9">
        <v>0</v>
      </c>
      <c r="E447" s="11" t="s">
        <v>107</v>
      </c>
      <c r="F447" s="11" t="str">
        <f t="shared" si="6"/>
        <v>No</v>
      </c>
    </row>
    <row r="448" spans="1:6" x14ac:dyDescent="0.3">
      <c r="A448" s="9" t="s">
        <v>9</v>
      </c>
      <c r="B448" s="9" t="s">
        <v>61</v>
      </c>
      <c r="C448" s="9" t="s">
        <v>100</v>
      </c>
      <c r="D448" s="9">
        <v>4</v>
      </c>
      <c r="E448" s="11" t="s">
        <v>107</v>
      </c>
      <c r="F448" s="11" t="str">
        <f t="shared" si="6"/>
        <v>No</v>
      </c>
    </row>
    <row r="449" spans="1:6" x14ac:dyDescent="0.3">
      <c r="A449" s="9" t="s">
        <v>9</v>
      </c>
      <c r="B449" s="9" t="s">
        <v>78</v>
      </c>
      <c r="C449" s="9" t="s">
        <v>95</v>
      </c>
      <c r="D449" s="9">
        <v>2</v>
      </c>
      <c r="E449" s="11" t="s">
        <v>105</v>
      </c>
      <c r="F449" s="11" t="str">
        <f t="shared" si="6"/>
        <v>Yes</v>
      </c>
    </row>
    <row r="450" spans="1:6" x14ac:dyDescent="0.3">
      <c r="A450" s="9" t="s">
        <v>9</v>
      </c>
      <c r="B450" s="9" t="s">
        <v>62</v>
      </c>
      <c r="C450" s="9" t="s">
        <v>101</v>
      </c>
      <c r="D450" s="9">
        <v>21</v>
      </c>
      <c r="E450" s="11" t="s">
        <v>106</v>
      </c>
      <c r="F450" s="11" t="str">
        <f t="shared" ref="F450:F513" si="7">IF(E450="Standalone","Yes",IF(AND(E450="Total",OR(B450="Kidnapping &amp; Abduction (Total)",B450="Rape (Total)",B450="Attempt to Rape (Total)",B450="Assault to Outrage Modesty (Total)",B450="Insult to Modesty (Total)",B450="Immoral Traffic (Prevention) Act (Total)",B450="Women-Centric Cyber Crime (Total)",B450="POCSO (Protection of Children from Sexual Offences Act) (Total)")),"Yes","No"))</f>
        <v>Yes</v>
      </c>
    </row>
    <row r="451" spans="1:6" x14ac:dyDescent="0.3">
      <c r="A451" s="9" t="s">
        <v>9</v>
      </c>
      <c r="B451" s="9" t="s">
        <v>63</v>
      </c>
      <c r="C451" s="9" t="s">
        <v>101</v>
      </c>
      <c r="D451" s="9">
        <v>21</v>
      </c>
      <c r="E451" s="11" t="s">
        <v>107</v>
      </c>
      <c r="F451" s="11" t="str">
        <f t="shared" si="7"/>
        <v>No</v>
      </c>
    </row>
    <row r="452" spans="1:6" x14ac:dyDescent="0.3">
      <c r="A452" s="9" t="s">
        <v>9</v>
      </c>
      <c r="B452" s="9" t="s">
        <v>64</v>
      </c>
      <c r="C452" s="9" t="s">
        <v>101</v>
      </c>
      <c r="D452" s="9">
        <v>0</v>
      </c>
      <c r="E452" s="11" t="s">
        <v>107</v>
      </c>
      <c r="F452" s="11" t="str">
        <f t="shared" si="7"/>
        <v>No</v>
      </c>
    </row>
    <row r="453" spans="1:6" x14ac:dyDescent="0.3">
      <c r="A453" s="9" t="s">
        <v>9</v>
      </c>
      <c r="B453" s="9" t="s">
        <v>77</v>
      </c>
      <c r="C453" s="9" t="s">
        <v>102</v>
      </c>
      <c r="D453" s="9">
        <v>3</v>
      </c>
      <c r="E453" s="11" t="s">
        <v>106</v>
      </c>
      <c r="F453" s="11" t="str">
        <f t="shared" si="7"/>
        <v>Yes</v>
      </c>
    </row>
    <row r="454" spans="1:6" x14ac:dyDescent="0.3">
      <c r="A454" s="9" t="s">
        <v>9</v>
      </c>
      <c r="B454" s="9" t="s">
        <v>65</v>
      </c>
      <c r="C454" s="9" t="s">
        <v>102</v>
      </c>
      <c r="D454" s="9">
        <v>0</v>
      </c>
      <c r="E454" s="11" t="s">
        <v>107</v>
      </c>
      <c r="F454" s="11" t="str">
        <f t="shared" si="7"/>
        <v>No</v>
      </c>
    </row>
    <row r="455" spans="1:6" x14ac:dyDescent="0.3">
      <c r="A455" s="9" t="s">
        <v>9</v>
      </c>
      <c r="B455" s="9" t="s">
        <v>66</v>
      </c>
      <c r="C455" s="9" t="s">
        <v>102</v>
      </c>
      <c r="D455" s="9">
        <v>0</v>
      </c>
      <c r="E455" s="11" t="s">
        <v>107</v>
      </c>
      <c r="F455" s="11" t="str">
        <f t="shared" si="7"/>
        <v>No</v>
      </c>
    </row>
    <row r="456" spans="1:6" x14ac:dyDescent="0.3">
      <c r="A456" s="9" t="s">
        <v>9</v>
      </c>
      <c r="B456" s="9" t="s">
        <v>67</v>
      </c>
      <c r="C456" s="9" t="s">
        <v>102</v>
      </c>
      <c r="D456" s="9">
        <v>2</v>
      </c>
      <c r="E456" s="11" t="s">
        <v>107</v>
      </c>
      <c r="F456" s="11" t="str">
        <f t="shared" si="7"/>
        <v>No</v>
      </c>
    </row>
    <row r="457" spans="1:6" x14ac:dyDescent="0.3">
      <c r="A457" s="9" t="s">
        <v>9</v>
      </c>
      <c r="B457" s="9" t="s">
        <v>68</v>
      </c>
      <c r="C457" s="9" t="s">
        <v>102</v>
      </c>
      <c r="D457" s="9">
        <v>1</v>
      </c>
      <c r="E457" s="11" t="s">
        <v>107</v>
      </c>
      <c r="F457" s="11" t="str">
        <f t="shared" si="7"/>
        <v>No</v>
      </c>
    </row>
    <row r="458" spans="1:6" x14ac:dyDescent="0.3">
      <c r="A458" s="9" t="s">
        <v>9</v>
      </c>
      <c r="B458" s="9" t="s">
        <v>69</v>
      </c>
      <c r="C458" s="9" t="s">
        <v>102</v>
      </c>
      <c r="D458" s="9">
        <v>0</v>
      </c>
      <c r="E458" s="11" t="s">
        <v>107</v>
      </c>
      <c r="F458" s="11" t="str">
        <f t="shared" si="7"/>
        <v>No</v>
      </c>
    </row>
    <row r="459" spans="1:6" x14ac:dyDescent="0.3">
      <c r="A459" s="9" t="s">
        <v>9</v>
      </c>
      <c r="B459" s="9" t="s">
        <v>70</v>
      </c>
      <c r="C459" s="9" t="s">
        <v>102</v>
      </c>
      <c r="D459" s="9">
        <v>0</v>
      </c>
      <c r="E459" s="11" t="s">
        <v>107</v>
      </c>
      <c r="F459" s="11" t="str">
        <f t="shared" si="7"/>
        <v>No</v>
      </c>
    </row>
    <row r="460" spans="1:6" x14ac:dyDescent="0.3">
      <c r="A460" s="9" t="s">
        <v>9</v>
      </c>
      <c r="B460" s="9" t="s">
        <v>75</v>
      </c>
      <c r="C460" s="9" t="s">
        <v>103</v>
      </c>
      <c r="D460" s="9">
        <v>0</v>
      </c>
      <c r="E460" s="11" t="s">
        <v>105</v>
      </c>
      <c r="F460" s="11" t="str">
        <f t="shared" si="7"/>
        <v>Yes</v>
      </c>
    </row>
    <row r="461" spans="1:6" x14ac:dyDescent="0.3">
      <c r="A461" s="9" t="s">
        <v>10</v>
      </c>
      <c r="B461" s="9" t="s">
        <v>88</v>
      </c>
      <c r="C461" s="9" t="s">
        <v>92</v>
      </c>
      <c r="D461" s="9">
        <v>3</v>
      </c>
      <c r="E461" s="11" t="s">
        <v>105</v>
      </c>
      <c r="F461" s="11" t="str">
        <f t="shared" si="7"/>
        <v>Yes</v>
      </c>
    </row>
    <row r="462" spans="1:6" x14ac:dyDescent="0.3">
      <c r="A462" s="9" t="s">
        <v>10</v>
      </c>
      <c r="B462" s="9" t="s">
        <v>38</v>
      </c>
      <c r="C462" s="9" t="s">
        <v>93</v>
      </c>
      <c r="D462" s="9">
        <v>218</v>
      </c>
      <c r="E462" s="11" t="s">
        <v>105</v>
      </c>
      <c r="F462" s="11" t="str">
        <f t="shared" si="7"/>
        <v>Yes</v>
      </c>
    </row>
    <row r="463" spans="1:6" x14ac:dyDescent="0.3">
      <c r="A463" s="9" t="s">
        <v>10</v>
      </c>
      <c r="B463" s="9" t="s">
        <v>87</v>
      </c>
      <c r="C463" s="9" t="s">
        <v>94</v>
      </c>
      <c r="D463" s="9">
        <v>45</v>
      </c>
      <c r="E463" s="11" t="s">
        <v>105</v>
      </c>
      <c r="F463" s="11" t="str">
        <f t="shared" si="7"/>
        <v>Yes</v>
      </c>
    </row>
    <row r="464" spans="1:6" x14ac:dyDescent="0.3">
      <c r="A464" s="9" t="s">
        <v>10</v>
      </c>
      <c r="B464" s="9" t="s">
        <v>86</v>
      </c>
      <c r="C464" s="9" t="s">
        <v>86</v>
      </c>
      <c r="D464" s="9">
        <v>3</v>
      </c>
      <c r="E464" s="11" t="s">
        <v>105</v>
      </c>
      <c r="F464" s="11" t="str">
        <f t="shared" si="7"/>
        <v>Yes</v>
      </c>
    </row>
    <row r="465" spans="1:6" x14ac:dyDescent="0.3">
      <c r="A465" s="9" t="s">
        <v>10</v>
      </c>
      <c r="B465" s="9" t="s">
        <v>85</v>
      </c>
      <c r="C465" s="9" t="s">
        <v>85</v>
      </c>
      <c r="D465" s="9">
        <v>1</v>
      </c>
      <c r="E465" s="11" t="s">
        <v>105</v>
      </c>
      <c r="F465" s="11" t="str">
        <f t="shared" si="7"/>
        <v>Yes</v>
      </c>
    </row>
    <row r="466" spans="1:6" x14ac:dyDescent="0.3">
      <c r="A466" s="9" t="s">
        <v>10</v>
      </c>
      <c r="B466" s="9" t="s">
        <v>84</v>
      </c>
      <c r="C466" s="9" t="s">
        <v>85</v>
      </c>
      <c r="D466" s="9">
        <v>0</v>
      </c>
      <c r="E466" s="11" t="s">
        <v>105</v>
      </c>
      <c r="F466" s="11" t="str">
        <f t="shared" si="7"/>
        <v>Yes</v>
      </c>
    </row>
    <row r="467" spans="1:6" x14ac:dyDescent="0.3">
      <c r="A467" s="9" t="s">
        <v>10</v>
      </c>
      <c r="B467" s="9" t="s">
        <v>83</v>
      </c>
      <c r="C467" s="9" t="s">
        <v>95</v>
      </c>
      <c r="D467" s="9">
        <v>770</v>
      </c>
      <c r="E467" s="11" t="s">
        <v>105</v>
      </c>
      <c r="F467" s="11" t="str">
        <f t="shared" si="7"/>
        <v>Yes</v>
      </c>
    </row>
    <row r="468" spans="1:6" x14ac:dyDescent="0.3">
      <c r="A468" s="9" t="s">
        <v>10</v>
      </c>
      <c r="B468" s="9" t="s">
        <v>39</v>
      </c>
      <c r="C468" s="9" t="s">
        <v>40</v>
      </c>
      <c r="D468" s="9">
        <v>1253</v>
      </c>
      <c r="E468" s="11" t="s">
        <v>106</v>
      </c>
      <c r="F468" s="11" t="str">
        <f t="shared" si="7"/>
        <v>Yes</v>
      </c>
    </row>
    <row r="469" spans="1:6" x14ac:dyDescent="0.3">
      <c r="A469" s="9" t="s">
        <v>10</v>
      </c>
      <c r="B469" s="9" t="s">
        <v>40</v>
      </c>
      <c r="C469" s="9" t="s">
        <v>40</v>
      </c>
      <c r="D469" s="9">
        <v>93</v>
      </c>
      <c r="E469" s="11" t="s">
        <v>107</v>
      </c>
      <c r="F469" s="11" t="str">
        <f t="shared" si="7"/>
        <v>No</v>
      </c>
    </row>
    <row r="470" spans="1:6" x14ac:dyDescent="0.3">
      <c r="A470" s="9" t="s">
        <v>10</v>
      </c>
      <c r="B470" s="9" t="s">
        <v>41</v>
      </c>
      <c r="C470" s="9" t="s">
        <v>40</v>
      </c>
      <c r="D470" s="9">
        <v>4</v>
      </c>
      <c r="E470" s="11" t="s">
        <v>107</v>
      </c>
      <c r="F470" s="11" t="str">
        <f t="shared" si="7"/>
        <v>No</v>
      </c>
    </row>
    <row r="471" spans="1:6" x14ac:dyDescent="0.3">
      <c r="A471" s="9" t="s">
        <v>10</v>
      </c>
      <c r="B471" s="9" t="s">
        <v>42</v>
      </c>
      <c r="C471" s="9" t="s">
        <v>40</v>
      </c>
      <c r="D471" s="9">
        <v>5</v>
      </c>
      <c r="E471" s="11" t="s">
        <v>107</v>
      </c>
      <c r="F471" s="11" t="str">
        <f t="shared" si="7"/>
        <v>No</v>
      </c>
    </row>
    <row r="472" spans="1:6" x14ac:dyDescent="0.3">
      <c r="A472" s="9" t="s">
        <v>10</v>
      </c>
      <c r="B472" s="9" t="s">
        <v>43</v>
      </c>
      <c r="C472" s="9" t="s">
        <v>40</v>
      </c>
      <c r="D472" s="9">
        <v>775</v>
      </c>
      <c r="E472" s="11" t="s">
        <v>106</v>
      </c>
      <c r="F472" s="11" t="str">
        <f t="shared" si="7"/>
        <v>No</v>
      </c>
    </row>
    <row r="473" spans="1:6" x14ac:dyDescent="0.3">
      <c r="A473" s="9" t="s">
        <v>10</v>
      </c>
      <c r="B473" s="9" t="s">
        <v>44</v>
      </c>
      <c r="C473" s="9" t="s">
        <v>40</v>
      </c>
      <c r="D473" s="9">
        <v>620</v>
      </c>
      <c r="E473" s="11" t="s">
        <v>107</v>
      </c>
      <c r="F473" s="11" t="str">
        <f t="shared" si="7"/>
        <v>No</v>
      </c>
    </row>
    <row r="474" spans="1:6" x14ac:dyDescent="0.3">
      <c r="A474" s="9" t="s">
        <v>10</v>
      </c>
      <c r="B474" s="9" t="s">
        <v>45</v>
      </c>
      <c r="C474" s="9" t="s">
        <v>40</v>
      </c>
      <c r="D474" s="9">
        <v>155</v>
      </c>
      <c r="E474" s="11" t="s">
        <v>107</v>
      </c>
      <c r="F474" s="11" t="str">
        <f t="shared" si="7"/>
        <v>No</v>
      </c>
    </row>
    <row r="475" spans="1:6" x14ac:dyDescent="0.3">
      <c r="A475" s="9" t="s">
        <v>10</v>
      </c>
      <c r="B475" s="9" t="s">
        <v>71</v>
      </c>
      <c r="C475" s="9" t="s">
        <v>40</v>
      </c>
      <c r="D475" s="9">
        <v>319</v>
      </c>
      <c r="E475" s="11" t="s">
        <v>105</v>
      </c>
      <c r="F475" s="11" t="str">
        <f t="shared" si="7"/>
        <v>Yes</v>
      </c>
    </row>
    <row r="476" spans="1:6" x14ac:dyDescent="0.3">
      <c r="A476" s="9" t="s">
        <v>10</v>
      </c>
      <c r="B476" s="9" t="s">
        <v>72</v>
      </c>
      <c r="C476" s="9" t="s">
        <v>40</v>
      </c>
      <c r="D476" s="9">
        <v>0</v>
      </c>
      <c r="E476" s="11" t="s">
        <v>105</v>
      </c>
      <c r="F476" s="11" t="str">
        <f t="shared" si="7"/>
        <v>Yes</v>
      </c>
    </row>
    <row r="477" spans="1:6" x14ac:dyDescent="0.3">
      <c r="A477" s="9" t="s">
        <v>10</v>
      </c>
      <c r="B477" s="9" t="s">
        <v>82</v>
      </c>
      <c r="C477" s="9" t="s">
        <v>40</v>
      </c>
      <c r="D477" s="9">
        <v>57</v>
      </c>
      <c r="E477" s="11" t="s">
        <v>105</v>
      </c>
      <c r="F477" s="11" t="str">
        <f t="shared" si="7"/>
        <v>Yes</v>
      </c>
    </row>
    <row r="478" spans="1:6" x14ac:dyDescent="0.3">
      <c r="A478" s="9" t="s">
        <v>10</v>
      </c>
      <c r="B478" s="9" t="s">
        <v>81</v>
      </c>
      <c r="C478" s="9" t="s">
        <v>81</v>
      </c>
      <c r="D478" s="9">
        <v>37</v>
      </c>
      <c r="E478" s="11" t="s">
        <v>105</v>
      </c>
      <c r="F478" s="11" t="str">
        <f t="shared" si="7"/>
        <v>Yes</v>
      </c>
    </row>
    <row r="479" spans="1:6" x14ac:dyDescent="0.3">
      <c r="A479" s="9" t="s">
        <v>10</v>
      </c>
      <c r="B479" s="9" t="s">
        <v>73</v>
      </c>
      <c r="C479" s="9" t="s">
        <v>81</v>
      </c>
      <c r="D479" s="9">
        <v>0</v>
      </c>
      <c r="E479" s="11" t="s">
        <v>105</v>
      </c>
      <c r="F479" s="11" t="str">
        <f t="shared" si="7"/>
        <v>Yes</v>
      </c>
    </row>
    <row r="480" spans="1:6" x14ac:dyDescent="0.3">
      <c r="A480" s="9" t="s">
        <v>10</v>
      </c>
      <c r="B480" s="9" t="s">
        <v>80</v>
      </c>
      <c r="C480" s="9" t="s">
        <v>81</v>
      </c>
      <c r="D480" s="9">
        <v>0</v>
      </c>
      <c r="E480" s="11" t="s">
        <v>105</v>
      </c>
      <c r="F480" s="11" t="str">
        <f t="shared" si="7"/>
        <v>Yes</v>
      </c>
    </row>
    <row r="481" spans="1:6" x14ac:dyDescent="0.3">
      <c r="A481" s="9" t="s">
        <v>10</v>
      </c>
      <c r="B481" s="9" t="s">
        <v>79</v>
      </c>
      <c r="C481" s="9" t="s">
        <v>96</v>
      </c>
      <c r="D481" s="9">
        <v>1221</v>
      </c>
      <c r="E481" s="11" t="s">
        <v>106</v>
      </c>
      <c r="F481" s="11" t="str">
        <f t="shared" si="7"/>
        <v>Yes</v>
      </c>
    </row>
    <row r="482" spans="1:6" x14ac:dyDescent="0.3">
      <c r="A482" s="9" t="s">
        <v>10</v>
      </c>
      <c r="B482" s="9" t="s">
        <v>46</v>
      </c>
      <c r="C482" s="9" t="s">
        <v>96</v>
      </c>
      <c r="D482" s="9">
        <v>1071</v>
      </c>
      <c r="E482" s="11" t="s">
        <v>107</v>
      </c>
      <c r="F482" s="11" t="str">
        <f t="shared" si="7"/>
        <v>No</v>
      </c>
    </row>
    <row r="483" spans="1:6" x14ac:dyDescent="0.3">
      <c r="A483" s="9" t="s">
        <v>10</v>
      </c>
      <c r="B483" s="9" t="s">
        <v>47</v>
      </c>
      <c r="C483" s="9" t="s">
        <v>96</v>
      </c>
      <c r="D483" s="9">
        <v>150</v>
      </c>
      <c r="E483" s="11" t="s">
        <v>107</v>
      </c>
      <c r="F483" s="11" t="str">
        <f t="shared" si="7"/>
        <v>No</v>
      </c>
    </row>
    <row r="484" spans="1:6" x14ac:dyDescent="0.3">
      <c r="A484" s="9" t="s">
        <v>10</v>
      </c>
      <c r="B484" s="9" t="s">
        <v>48</v>
      </c>
      <c r="C484" s="9" t="s">
        <v>97</v>
      </c>
      <c r="D484" s="9">
        <v>66</v>
      </c>
      <c r="E484" s="11" t="s">
        <v>106</v>
      </c>
      <c r="F484" s="11" t="str">
        <f t="shared" si="7"/>
        <v>Yes</v>
      </c>
    </row>
    <row r="485" spans="1:6" x14ac:dyDescent="0.3">
      <c r="A485" s="9" t="s">
        <v>10</v>
      </c>
      <c r="B485" s="9" t="s">
        <v>49</v>
      </c>
      <c r="C485" s="9" t="s">
        <v>97</v>
      </c>
      <c r="D485" s="9">
        <v>64</v>
      </c>
      <c r="E485" s="11" t="s">
        <v>107</v>
      </c>
      <c r="F485" s="11" t="str">
        <f t="shared" si="7"/>
        <v>No</v>
      </c>
    </row>
    <row r="486" spans="1:6" x14ac:dyDescent="0.3">
      <c r="A486" s="9" t="s">
        <v>10</v>
      </c>
      <c r="B486" s="9" t="s">
        <v>50</v>
      </c>
      <c r="C486" s="9" t="s">
        <v>97</v>
      </c>
      <c r="D486" s="9">
        <v>2</v>
      </c>
      <c r="E486" s="11" t="s">
        <v>107</v>
      </c>
      <c r="F486" s="11" t="str">
        <f t="shared" si="7"/>
        <v>No</v>
      </c>
    </row>
    <row r="487" spans="1:6" x14ac:dyDescent="0.3">
      <c r="A487" s="9" t="s">
        <v>10</v>
      </c>
      <c r="B487" s="9" t="s">
        <v>51</v>
      </c>
      <c r="C487" s="9" t="s">
        <v>99</v>
      </c>
      <c r="D487" s="9">
        <v>944</v>
      </c>
      <c r="E487" s="11" t="s">
        <v>106</v>
      </c>
      <c r="F487" s="11" t="str">
        <f t="shared" si="7"/>
        <v>Yes</v>
      </c>
    </row>
    <row r="488" spans="1:6" x14ac:dyDescent="0.3">
      <c r="A488" s="9" t="s">
        <v>10</v>
      </c>
      <c r="B488" s="9" t="s">
        <v>52</v>
      </c>
      <c r="C488" s="9" t="s">
        <v>99</v>
      </c>
      <c r="D488" s="9">
        <v>942</v>
      </c>
      <c r="E488" s="11" t="s">
        <v>107</v>
      </c>
      <c r="F488" s="11" t="str">
        <f t="shared" si="7"/>
        <v>No</v>
      </c>
    </row>
    <row r="489" spans="1:6" x14ac:dyDescent="0.3">
      <c r="A489" s="9" t="s">
        <v>10</v>
      </c>
      <c r="B489" s="9" t="s">
        <v>53</v>
      </c>
      <c r="C489" s="9" t="s">
        <v>99</v>
      </c>
      <c r="D489" s="9">
        <v>2</v>
      </c>
      <c r="E489" s="11" t="s">
        <v>107</v>
      </c>
      <c r="F489" s="11" t="str">
        <f t="shared" si="7"/>
        <v>No</v>
      </c>
    </row>
    <row r="490" spans="1:6" x14ac:dyDescent="0.3">
      <c r="A490" s="9" t="s">
        <v>10</v>
      </c>
      <c r="B490" s="9" t="s">
        <v>54</v>
      </c>
      <c r="C490" s="9" t="s">
        <v>98</v>
      </c>
      <c r="D490" s="9">
        <v>4</v>
      </c>
      <c r="E490" s="11" t="s">
        <v>106</v>
      </c>
      <c r="F490" s="11" t="str">
        <f t="shared" si="7"/>
        <v>Yes</v>
      </c>
    </row>
    <row r="491" spans="1:6" x14ac:dyDescent="0.3">
      <c r="A491" s="9" t="s">
        <v>10</v>
      </c>
      <c r="B491" s="9" t="s">
        <v>55</v>
      </c>
      <c r="C491" s="9" t="s">
        <v>98</v>
      </c>
      <c r="D491" s="9">
        <v>4</v>
      </c>
      <c r="E491" s="11" t="s">
        <v>107</v>
      </c>
      <c r="F491" s="11" t="str">
        <f t="shared" si="7"/>
        <v>No</v>
      </c>
    </row>
    <row r="492" spans="1:6" x14ac:dyDescent="0.3">
      <c r="A492" s="9" t="s">
        <v>10</v>
      </c>
      <c r="B492" s="9" t="s">
        <v>56</v>
      </c>
      <c r="C492" s="9" t="s">
        <v>98</v>
      </c>
      <c r="D492" s="9">
        <v>0</v>
      </c>
      <c r="E492" s="11" t="s">
        <v>107</v>
      </c>
      <c r="F492" s="11" t="str">
        <f t="shared" si="7"/>
        <v>No</v>
      </c>
    </row>
    <row r="493" spans="1:6" x14ac:dyDescent="0.3">
      <c r="A493" s="9" t="s">
        <v>10</v>
      </c>
      <c r="B493" s="9" t="s">
        <v>74</v>
      </c>
      <c r="C493" s="9" t="s">
        <v>74</v>
      </c>
      <c r="D493" s="9">
        <v>1487</v>
      </c>
      <c r="E493" s="11" t="s">
        <v>105</v>
      </c>
      <c r="F493" s="11" t="str">
        <f t="shared" si="7"/>
        <v>Yes</v>
      </c>
    </row>
    <row r="494" spans="1:6" x14ac:dyDescent="0.3">
      <c r="A494" s="9" t="s">
        <v>10</v>
      </c>
      <c r="B494" s="9" t="s">
        <v>57</v>
      </c>
      <c r="C494" s="9" t="s">
        <v>100</v>
      </c>
      <c r="D494" s="9">
        <v>2</v>
      </c>
      <c r="E494" s="11" t="s">
        <v>106</v>
      </c>
      <c r="F494" s="11" t="str">
        <f t="shared" si="7"/>
        <v>Yes</v>
      </c>
    </row>
    <row r="495" spans="1:6" x14ac:dyDescent="0.3">
      <c r="A495" s="9" t="s">
        <v>10</v>
      </c>
      <c r="B495" s="9" t="s">
        <v>76</v>
      </c>
      <c r="C495" s="9" t="s">
        <v>100</v>
      </c>
      <c r="D495" s="9">
        <v>0</v>
      </c>
      <c r="E495" s="11" t="s">
        <v>107</v>
      </c>
      <c r="F495" s="11" t="str">
        <f t="shared" si="7"/>
        <v>No</v>
      </c>
    </row>
    <row r="496" spans="1:6" x14ac:dyDescent="0.3">
      <c r="A496" s="9" t="s">
        <v>10</v>
      </c>
      <c r="B496" s="9" t="s">
        <v>58</v>
      </c>
      <c r="C496" s="9" t="s">
        <v>100</v>
      </c>
      <c r="D496" s="9">
        <v>1</v>
      </c>
      <c r="E496" s="11" t="s">
        <v>107</v>
      </c>
      <c r="F496" s="11" t="str">
        <f t="shared" si="7"/>
        <v>No</v>
      </c>
    </row>
    <row r="497" spans="1:6" x14ac:dyDescent="0.3">
      <c r="A497" s="9" t="s">
        <v>10</v>
      </c>
      <c r="B497" s="9" t="s">
        <v>59</v>
      </c>
      <c r="C497" s="9" t="s">
        <v>100</v>
      </c>
      <c r="D497" s="9">
        <v>0</v>
      </c>
      <c r="E497" s="11" t="s">
        <v>107</v>
      </c>
      <c r="F497" s="11" t="str">
        <f t="shared" si="7"/>
        <v>No</v>
      </c>
    </row>
    <row r="498" spans="1:6" x14ac:dyDescent="0.3">
      <c r="A498" s="9" t="s">
        <v>10</v>
      </c>
      <c r="B498" s="9" t="s">
        <v>60</v>
      </c>
      <c r="C498" s="9" t="s">
        <v>100</v>
      </c>
      <c r="D498" s="9">
        <v>0</v>
      </c>
      <c r="E498" s="11" t="s">
        <v>107</v>
      </c>
      <c r="F498" s="11" t="str">
        <f t="shared" si="7"/>
        <v>No</v>
      </c>
    </row>
    <row r="499" spans="1:6" x14ac:dyDescent="0.3">
      <c r="A499" s="9" t="s">
        <v>10</v>
      </c>
      <c r="B499" s="9" t="s">
        <v>61</v>
      </c>
      <c r="C499" s="9" t="s">
        <v>100</v>
      </c>
      <c r="D499" s="9">
        <v>1</v>
      </c>
      <c r="E499" s="11" t="s">
        <v>107</v>
      </c>
      <c r="F499" s="11" t="str">
        <f t="shared" si="7"/>
        <v>No</v>
      </c>
    </row>
    <row r="500" spans="1:6" x14ac:dyDescent="0.3">
      <c r="A500" s="9" t="s">
        <v>10</v>
      </c>
      <c r="B500" s="9" t="s">
        <v>78</v>
      </c>
      <c r="C500" s="9" t="s">
        <v>95</v>
      </c>
      <c r="D500" s="9">
        <v>96</v>
      </c>
      <c r="E500" s="11" t="s">
        <v>105</v>
      </c>
      <c r="F500" s="11" t="str">
        <f t="shared" si="7"/>
        <v>Yes</v>
      </c>
    </row>
    <row r="501" spans="1:6" x14ac:dyDescent="0.3">
      <c r="A501" s="9" t="s">
        <v>10</v>
      </c>
      <c r="B501" s="9" t="s">
        <v>62</v>
      </c>
      <c r="C501" s="9" t="s">
        <v>101</v>
      </c>
      <c r="D501" s="9">
        <v>12</v>
      </c>
      <c r="E501" s="11" t="s">
        <v>106</v>
      </c>
      <c r="F501" s="11" t="str">
        <f t="shared" si="7"/>
        <v>Yes</v>
      </c>
    </row>
    <row r="502" spans="1:6" x14ac:dyDescent="0.3">
      <c r="A502" s="9" t="s">
        <v>10</v>
      </c>
      <c r="B502" s="9" t="s">
        <v>63</v>
      </c>
      <c r="C502" s="9" t="s">
        <v>101</v>
      </c>
      <c r="D502" s="9">
        <v>12</v>
      </c>
      <c r="E502" s="11" t="s">
        <v>107</v>
      </c>
      <c r="F502" s="11" t="str">
        <f t="shared" si="7"/>
        <v>No</v>
      </c>
    </row>
    <row r="503" spans="1:6" x14ac:dyDescent="0.3">
      <c r="A503" s="9" t="s">
        <v>10</v>
      </c>
      <c r="B503" s="9" t="s">
        <v>64</v>
      </c>
      <c r="C503" s="9" t="s">
        <v>101</v>
      </c>
      <c r="D503" s="9">
        <v>0</v>
      </c>
      <c r="E503" s="11" t="s">
        <v>107</v>
      </c>
      <c r="F503" s="11" t="str">
        <f t="shared" si="7"/>
        <v>No</v>
      </c>
    </row>
    <row r="504" spans="1:6" x14ac:dyDescent="0.3">
      <c r="A504" s="9" t="s">
        <v>10</v>
      </c>
      <c r="B504" s="9" t="s">
        <v>77</v>
      </c>
      <c r="C504" s="9" t="s">
        <v>102</v>
      </c>
      <c r="D504" s="9">
        <v>827</v>
      </c>
      <c r="E504" s="11" t="s">
        <v>106</v>
      </c>
      <c r="F504" s="11" t="str">
        <f t="shared" si="7"/>
        <v>Yes</v>
      </c>
    </row>
    <row r="505" spans="1:6" x14ac:dyDescent="0.3">
      <c r="A505" s="9" t="s">
        <v>10</v>
      </c>
      <c r="B505" s="9" t="s">
        <v>65</v>
      </c>
      <c r="C505" s="9" t="s">
        <v>102</v>
      </c>
      <c r="D505" s="9">
        <v>657</v>
      </c>
      <c r="E505" s="11" t="s">
        <v>107</v>
      </c>
      <c r="F505" s="11" t="str">
        <f t="shared" si="7"/>
        <v>No</v>
      </c>
    </row>
    <row r="506" spans="1:6" x14ac:dyDescent="0.3">
      <c r="A506" s="9" t="s">
        <v>10</v>
      </c>
      <c r="B506" s="9" t="s">
        <v>66</v>
      </c>
      <c r="C506" s="9" t="s">
        <v>102</v>
      </c>
      <c r="D506" s="9">
        <v>93</v>
      </c>
      <c r="E506" s="11" t="s">
        <v>107</v>
      </c>
      <c r="F506" s="11" t="str">
        <f t="shared" si="7"/>
        <v>No</v>
      </c>
    </row>
    <row r="507" spans="1:6" x14ac:dyDescent="0.3">
      <c r="A507" s="9" t="s">
        <v>10</v>
      </c>
      <c r="B507" s="9" t="s">
        <v>67</v>
      </c>
      <c r="C507" s="9" t="s">
        <v>102</v>
      </c>
      <c r="D507" s="9">
        <v>69</v>
      </c>
      <c r="E507" s="11" t="s">
        <v>107</v>
      </c>
      <c r="F507" s="11" t="str">
        <f t="shared" si="7"/>
        <v>No</v>
      </c>
    </row>
    <row r="508" spans="1:6" x14ac:dyDescent="0.3">
      <c r="A508" s="9" t="s">
        <v>10</v>
      </c>
      <c r="B508" s="9" t="s">
        <v>68</v>
      </c>
      <c r="C508" s="9" t="s">
        <v>102</v>
      </c>
      <c r="D508" s="9">
        <v>7</v>
      </c>
      <c r="E508" s="11" t="s">
        <v>107</v>
      </c>
      <c r="F508" s="11" t="str">
        <f t="shared" si="7"/>
        <v>No</v>
      </c>
    </row>
    <row r="509" spans="1:6" x14ac:dyDescent="0.3">
      <c r="A509" s="9" t="s">
        <v>10</v>
      </c>
      <c r="B509" s="9" t="s">
        <v>69</v>
      </c>
      <c r="C509" s="9" t="s">
        <v>102</v>
      </c>
      <c r="D509" s="9">
        <v>1</v>
      </c>
      <c r="E509" s="11" t="s">
        <v>107</v>
      </c>
      <c r="F509" s="11" t="str">
        <f t="shared" si="7"/>
        <v>No</v>
      </c>
    </row>
    <row r="510" spans="1:6" x14ac:dyDescent="0.3">
      <c r="A510" s="9" t="s">
        <v>10</v>
      </c>
      <c r="B510" s="9" t="s">
        <v>70</v>
      </c>
      <c r="C510" s="9" t="s">
        <v>102</v>
      </c>
      <c r="D510" s="9">
        <v>0</v>
      </c>
      <c r="E510" s="11" t="s">
        <v>107</v>
      </c>
      <c r="F510" s="11" t="str">
        <f t="shared" si="7"/>
        <v>No</v>
      </c>
    </row>
    <row r="511" spans="1:6" x14ac:dyDescent="0.3">
      <c r="A511" s="9" t="s">
        <v>10</v>
      </c>
      <c r="B511" s="9" t="s">
        <v>75</v>
      </c>
      <c r="C511" s="9" t="s">
        <v>103</v>
      </c>
      <c r="D511" s="9">
        <v>0</v>
      </c>
      <c r="E511" s="11" t="s">
        <v>105</v>
      </c>
      <c r="F511" s="11" t="str">
        <f t="shared" si="7"/>
        <v>Yes</v>
      </c>
    </row>
    <row r="512" spans="1:6" x14ac:dyDescent="0.3">
      <c r="A512" s="9" t="s">
        <v>11</v>
      </c>
      <c r="B512" s="9" t="s">
        <v>88</v>
      </c>
      <c r="C512" s="9" t="s">
        <v>92</v>
      </c>
      <c r="D512" s="9">
        <v>6</v>
      </c>
      <c r="E512" s="11" t="s">
        <v>105</v>
      </c>
      <c r="F512" s="11" t="str">
        <f t="shared" si="7"/>
        <v>Yes</v>
      </c>
    </row>
    <row r="513" spans="1:6" x14ac:dyDescent="0.3">
      <c r="A513" s="9" t="s">
        <v>11</v>
      </c>
      <c r="B513" s="9" t="s">
        <v>38</v>
      </c>
      <c r="C513" s="9" t="s">
        <v>93</v>
      </c>
      <c r="D513" s="9">
        <v>156</v>
      </c>
      <c r="E513" s="11" t="s">
        <v>105</v>
      </c>
      <c r="F513" s="11" t="str">
        <f t="shared" si="7"/>
        <v>Yes</v>
      </c>
    </row>
    <row r="514" spans="1:6" x14ac:dyDescent="0.3">
      <c r="A514" s="9" t="s">
        <v>11</v>
      </c>
      <c r="B514" s="9" t="s">
        <v>87</v>
      </c>
      <c r="C514" s="9" t="s">
        <v>94</v>
      </c>
      <c r="D514" s="9">
        <v>274</v>
      </c>
      <c r="E514" s="11" t="s">
        <v>105</v>
      </c>
      <c r="F514" s="11" t="str">
        <f t="shared" ref="F514:F577" si="8">IF(E514="Standalone","Yes",IF(AND(E514="Total",OR(B514="Kidnapping &amp; Abduction (Total)",B514="Rape (Total)",B514="Attempt to Rape (Total)",B514="Assault to Outrage Modesty (Total)",B514="Insult to Modesty (Total)",B514="Immoral Traffic (Prevention) Act (Total)",B514="Women-Centric Cyber Crime (Total)",B514="POCSO (Protection of Children from Sexual Offences Act) (Total)")),"Yes","No"))</f>
        <v>Yes</v>
      </c>
    </row>
    <row r="515" spans="1:6" x14ac:dyDescent="0.3">
      <c r="A515" s="9" t="s">
        <v>11</v>
      </c>
      <c r="B515" s="9" t="s">
        <v>86</v>
      </c>
      <c r="C515" s="9" t="s">
        <v>86</v>
      </c>
      <c r="D515" s="9">
        <v>11</v>
      </c>
      <c r="E515" s="11" t="s">
        <v>105</v>
      </c>
      <c r="F515" s="11" t="str">
        <f t="shared" si="8"/>
        <v>Yes</v>
      </c>
    </row>
    <row r="516" spans="1:6" x14ac:dyDescent="0.3">
      <c r="A516" s="9" t="s">
        <v>11</v>
      </c>
      <c r="B516" s="9" t="s">
        <v>85</v>
      </c>
      <c r="C516" s="9" t="s">
        <v>85</v>
      </c>
      <c r="D516" s="9">
        <v>0</v>
      </c>
      <c r="E516" s="11" t="s">
        <v>105</v>
      </c>
      <c r="F516" s="11" t="str">
        <f t="shared" si="8"/>
        <v>Yes</v>
      </c>
    </row>
    <row r="517" spans="1:6" x14ac:dyDescent="0.3">
      <c r="A517" s="9" t="s">
        <v>11</v>
      </c>
      <c r="B517" s="9" t="s">
        <v>84</v>
      </c>
      <c r="C517" s="9" t="s">
        <v>85</v>
      </c>
      <c r="D517" s="9">
        <v>4</v>
      </c>
      <c r="E517" s="11" t="s">
        <v>105</v>
      </c>
      <c r="F517" s="11" t="str">
        <f t="shared" si="8"/>
        <v>Yes</v>
      </c>
    </row>
    <row r="518" spans="1:6" x14ac:dyDescent="0.3">
      <c r="A518" s="9" t="s">
        <v>11</v>
      </c>
      <c r="B518" s="9" t="s">
        <v>83</v>
      </c>
      <c r="C518" s="9" t="s">
        <v>95</v>
      </c>
      <c r="D518" s="9">
        <v>3000</v>
      </c>
      <c r="E518" s="11" t="s">
        <v>105</v>
      </c>
      <c r="F518" s="11" t="str">
        <f t="shared" si="8"/>
        <v>Yes</v>
      </c>
    </row>
    <row r="519" spans="1:6" x14ac:dyDescent="0.3">
      <c r="A519" s="9" t="s">
        <v>11</v>
      </c>
      <c r="B519" s="9" t="s">
        <v>39</v>
      </c>
      <c r="C519" s="9" t="s">
        <v>40</v>
      </c>
      <c r="D519" s="9">
        <v>2327</v>
      </c>
      <c r="E519" s="11" t="s">
        <v>106</v>
      </c>
      <c r="F519" s="11" t="str">
        <f t="shared" si="8"/>
        <v>Yes</v>
      </c>
    </row>
    <row r="520" spans="1:6" x14ac:dyDescent="0.3">
      <c r="A520" s="9" t="s">
        <v>11</v>
      </c>
      <c r="B520" s="9" t="s">
        <v>40</v>
      </c>
      <c r="C520" s="9" t="s">
        <v>40</v>
      </c>
      <c r="D520" s="9">
        <v>2256</v>
      </c>
      <c r="E520" s="11" t="s">
        <v>107</v>
      </c>
      <c r="F520" s="11" t="str">
        <f t="shared" si="8"/>
        <v>No</v>
      </c>
    </row>
    <row r="521" spans="1:6" x14ac:dyDescent="0.3">
      <c r="A521" s="9" t="s">
        <v>11</v>
      </c>
      <c r="B521" s="9" t="s">
        <v>41</v>
      </c>
      <c r="C521" s="9" t="s">
        <v>40</v>
      </c>
      <c r="D521" s="9">
        <v>1</v>
      </c>
      <c r="E521" s="11" t="s">
        <v>107</v>
      </c>
      <c r="F521" s="11" t="str">
        <f t="shared" si="8"/>
        <v>No</v>
      </c>
    </row>
    <row r="522" spans="1:6" x14ac:dyDescent="0.3">
      <c r="A522" s="9" t="s">
        <v>11</v>
      </c>
      <c r="B522" s="9" t="s">
        <v>42</v>
      </c>
      <c r="C522" s="9" t="s">
        <v>40</v>
      </c>
      <c r="D522" s="9">
        <v>18</v>
      </c>
      <c r="E522" s="11" t="s">
        <v>107</v>
      </c>
      <c r="F522" s="11" t="str">
        <f t="shared" si="8"/>
        <v>No</v>
      </c>
    </row>
    <row r="523" spans="1:6" x14ac:dyDescent="0.3">
      <c r="A523" s="9" t="s">
        <v>11</v>
      </c>
      <c r="B523" s="9" t="s">
        <v>43</v>
      </c>
      <c r="C523" s="9" t="s">
        <v>40</v>
      </c>
      <c r="D523" s="9">
        <v>29</v>
      </c>
      <c r="E523" s="11" t="s">
        <v>106</v>
      </c>
      <c r="F523" s="11" t="str">
        <f t="shared" si="8"/>
        <v>No</v>
      </c>
    </row>
    <row r="524" spans="1:6" x14ac:dyDescent="0.3">
      <c r="A524" s="9" t="s">
        <v>11</v>
      </c>
      <c r="B524" s="9" t="s">
        <v>44</v>
      </c>
      <c r="C524" s="9" t="s">
        <v>40</v>
      </c>
      <c r="D524" s="9">
        <v>21</v>
      </c>
      <c r="E524" s="11" t="s">
        <v>107</v>
      </c>
      <c r="F524" s="11" t="str">
        <f t="shared" si="8"/>
        <v>No</v>
      </c>
    </row>
    <row r="525" spans="1:6" x14ac:dyDescent="0.3">
      <c r="A525" s="9" t="s">
        <v>11</v>
      </c>
      <c r="B525" s="9" t="s">
        <v>45</v>
      </c>
      <c r="C525" s="9" t="s">
        <v>40</v>
      </c>
      <c r="D525" s="9">
        <v>8</v>
      </c>
      <c r="E525" s="11" t="s">
        <v>107</v>
      </c>
      <c r="F525" s="11" t="str">
        <f t="shared" si="8"/>
        <v>No</v>
      </c>
    </row>
    <row r="526" spans="1:6" x14ac:dyDescent="0.3">
      <c r="A526" s="9" t="s">
        <v>11</v>
      </c>
      <c r="B526" s="9" t="s">
        <v>71</v>
      </c>
      <c r="C526" s="9" t="s">
        <v>40</v>
      </c>
      <c r="D526" s="9">
        <v>5</v>
      </c>
      <c r="E526" s="11" t="s">
        <v>105</v>
      </c>
      <c r="F526" s="11" t="str">
        <f t="shared" si="8"/>
        <v>Yes</v>
      </c>
    </row>
    <row r="527" spans="1:6" x14ac:dyDescent="0.3">
      <c r="A527" s="9" t="s">
        <v>11</v>
      </c>
      <c r="B527" s="9" t="s">
        <v>72</v>
      </c>
      <c r="C527" s="9" t="s">
        <v>40</v>
      </c>
      <c r="D527" s="9">
        <v>0</v>
      </c>
      <c r="E527" s="11" t="s">
        <v>105</v>
      </c>
      <c r="F527" s="11" t="str">
        <f t="shared" si="8"/>
        <v>Yes</v>
      </c>
    </row>
    <row r="528" spans="1:6" x14ac:dyDescent="0.3">
      <c r="A528" s="9" t="s">
        <v>11</v>
      </c>
      <c r="B528" s="9" t="s">
        <v>82</v>
      </c>
      <c r="C528" s="9" t="s">
        <v>40</v>
      </c>
      <c r="D528" s="9">
        <v>18</v>
      </c>
      <c r="E528" s="11" t="s">
        <v>105</v>
      </c>
      <c r="F528" s="11" t="str">
        <f t="shared" si="8"/>
        <v>Yes</v>
      </c>
    </row>
    <row r="529" spans="1:6" x14ac:dyDescent="0.3">
      <c r="A529" s="9" t="s">
        <v>11</v>
      </c>
      <c r="B529" s="9" t="s">
        <v>81</v>
      </c>
      <c r="C529" s="9" t="s">
        <v>81</v>
      </c>
      <c r="D529" s="9">
        <v>11</v>
      </c>
      <c r="E529" s="11" t="s">
        <v>105</v>
      </c>
      <c r="F529" s="11" t="str">
        <f t="shared" si="8"/>
        <v>Yes</v>
      </c>
    </row>
    <row r="530" spans="1:6" x14ac:dyDescent="0.3">
      <c r="A530" s="9" t="s">
        <v>11</v>
      </c>
      <c r="B530" s="9" t="s">
        <v>73</v>
      </c>
      <c r="C530" s="9" t="s">
        <v>81</v>
      </c>
      <c r="D530" s="9">
        <v>0</v>
      </c>
      <c r="E530" s="11" t="s">
        <v>105</v>
      </c>
      <c r="F530" s="11" t="str">
        <f t="shared" si="8"/>
        <v>Yes</v>
      </c>
    </row>
    <row r="531" spans="1:6" x14ac:dyDescent="0.3">
      <c r="A531" s="9" t="s">
        <v>11</v>
      </c>
      <c r="B531" s="9" t="s">
        <v>80</v>
      </c>
      <c r="C531" s="9" t="s">
        <v>81</v>
      </c>
      <c r="D531" s="9">
        <v>0</v>
      </c>
      <c r="E531" s="11" t="s">
        <v>105</v>
      </c>
      <c r="F531" s="11" t="str">
        <f t="shared" si="8"/>
        <v>Yes</v>
      </c>
    </row>
    <row r="532" spans="1:6" x14ac:dyDescent="0.3">
      <c r="A532" s="9" t="s">
        <v>11</v>
      </c>
      <c r="B532" s="9" t="s">
        <v>79</v>
      </c>
      <c r="C532" s="9" t="s">
        <v>96</v>
      </c>
      <c r="D532" s="9">
        <v>656</v>
      </c>
      <c r="E532" s="11" t="s">
        <v>106</v>
      </c>
      <c r="F532" s="11" t="str">
        <f t="shared" si="8"/>
        <v>Yes</v>
      </c>
    </row>
    <row r="533" spans="1:6" x14ac:dyDescent="0.3">
      <c r="A533" s="9" t="s">
        <v>11</v>
      </c>
      <c r="B533" s="9" t="s">
        <v>46</v>
      </c>
      <c r="C533" s="9" t="s">
        <v>96</v>
      </c>
      <c r="D533" s="9">
        <v>656</v>
      </c>
      <c r="E533" s="11" t="s">
        <v>107</v>
      </c>
      <c r="F533" s="11" t="str">
        <f t="shared" si="8"/>
        <v>No</v>
      </c>
    </row>
    <row r="534" spans="1:6" x14ac:dyDescent="0.3">
      <c r="A534" s="9" t="s">
        <v>11</v>
      </c>
      <c r="B534" s="9" t="s">
        <v>47</v>
      </c>
      <c r="C534" s="9" t="s">
        <v>96</v>
      </c>
      <c r="D534" s="9">
        <v>0</v>
      </c>
      <c r="E534" s="11" t="s">
        <v>107</v>
      </c>
      <c r="F534" s="11" t="str">
        <f t="shared" si="8"/>
        <v>No</v>
      </c>
    </row>
    <row r="535" spans="1:6" x14ac:dyDescent="0.3">
      <c r="A535" s="9" t="s">
        <v>11</v>
      </c>
      <c r="B535" s="9" t="s">
        <v>48</v>
      </c>
      <c r="C535" s="9" t="s">
        <v>97</v>
      </c>
      <c r="D535" s="9">
        <v>10</v>
      </c>
      <c r="E535" s="11" t="s">
        <v>106</v>
      </c>
      <c r="F535" s="11" t="str">
        <f t="shared" si="8"/>
        <v>Yes</v>
      </c>
    </row>
    <row r="536" spans="1:6" x14ac:dyDescent="0.3">
      <c r="A536" s="9" t="s">
        <v>11</v>
      </c>
      <c r="B536" s="9" t="s">
        <v>49</v>
      </c>
      <c r="C536" s="9" t="s">
        <v>97</v>
      </c>
      <c r="D536" s="9">
        <v>9</v>
      </c>
      <c r="E536" s="11" t="s">
        <v>107</v>
      </c>
      <c r="F536" s="11" t="str">
        <f t="shared" si="8"/>
        <v>No</v>
      </c>
    </row>
    <row r="537" spans="1:6" x14ac:dyDescent="0.3">
      <c r="A537" s="9" t="s">
        <v>11</v>
      </c>
      <c r="B537" s="9" t="s">
        <v>50</v>
      </c>
      <c r="C537" s="9" t="s">
        <v>97</v>
      </c>
      <c r="D537" s="9">
        <v>1</v>
      </c>
      <c r="E537" s="11" t="s">
        <v>107</v>
      </c>
      <c r="F537" s="11" t="str">
        <f t="shared" si="8"/>
        <v>No</v>
      </c>
    </row>
    <row r="538" spans="1:6" x14ac:dyDescent="0.3">
      <c r="A538" s="9" t="s">
        <v>11</v>
      </c>
      <c r="B538" s="9" t="s">
        <v>51</v>
      </c>
      <c r="C538" s="9" t="s">
        <v>99</v>
      </c>
      <c r="D538" s="9">
        <v>6790</v>
      </c>
      <c r="E538" s="11" t="s">
        <v>106</v>
      </c>
      <c r="F538" s="11" t="str">
        <f t="shared" si="8"/>
        <v>Yes</v>
      </c>
    </row>
    <row r="539" spans="1:6" x14ac:dyDescent="0.3">
      <c r="A539" s="9" t="s">
        <v>11</v>
      </c>
      <c r="B539" s="9" t="s">
        <v>52</v>
      </c>
      <c r="C539" s="9" t="s">
        <v>99</v>
      </c>
      <c r="D539" s="9">
        <v>6789</v>
      </c>
      <c r="E539" s="11" t="s">
        <v>107</v>
      </c>
      <c r="F539" s="11" t="str">
        <f t="shared" si="8"/>
        <v>No</v>
      </c>
    </row>
    <row r="540" spans="1:6" x14ac:dyDescent="0.3">
      <c r="A540" s="9" t="s">
        <v>11</v>
      </c>
      <c r="B540" s="9" t="s">
        <v>53</v>
      </c>
      <c r="C540" s="9" t="s">
        <v>99</v>
      </c>
      <c r="D540" s="9">
        <v>1</v>
      </c>
      <c r="E540" s="11" t="s">
        <v>107</v>
      </c>
      <c r="F540" s="11" t="str">
        <f t="shared" si="8"/>
        <v>No</v>
      </c>
    </row>
    <row r="541" spans="1:6" x14ac:dyDescent="0.3">
      <c r="A541" s="9" t="s">
        <v>11</v>
      </c>
      <c r="B541" s="9" t="s">
        <v>54</v>
      </c>
      <c r="C541" s="9" t="s">
        <v>98</v>
      </c>
      <c r="D541" s="9">
        <v>148</v>
      </c>
      <c r="E541" s="11" t="s">
        <v>106</v>
      </c>
      <c r="F541" s="11" t="str">
        <f t="shared" si="8"/>
        <v>Yes</v>
      </c>
    </row>
    <row r="542" spans="1:6" x14ac:dyDescent="0.3">
      <c r="A542" s="9" t="s">
        <v>11</v>
      </c>
      <c r="B542" s="9" t="s">
        <v>55</v>
      </c>
      <c r="C542" s="9" t="s">
        <v>98</v>
      </c>
      <c r="D542" s="9">
        <v>148</v>
      </c>
      <c r="E542" s="11" t="s">
        <v>107</v>
      </c>
      <c r="F542" s="11" t="str">
        <f t="shared" si="8"/>
        <v>No</v>
      </c>
    </row>
    <row r="543" spans="1:6" x14ac:dyDescent="0.3">
      <c r="A543" s="9" t="s">
        <v>11</v>
      </c>
      <c r="B543" s="9" t="s">
        <v>56</v>
      </c>
      <c r="C543" s="9" t="s">
        <v>98</v>
      </c>
      <c r="D543" s="9">
        <v>0</v>
      </c>
      <c r="E543" s="11" t="s">
        <v>107</v>
      </c>
      <c r="F543" s="11" t="str">
        <f t="shared" si="8"/>
        <v>No</v>
      </c>
    </row>
    <row r="544" spans="1:6" x14ac:dyDescent="0.3">
      <c r="A544" s="9" t="s">
        <v>11</v>
      </c>
      <c r="B544" s="9" t="s">
        <v>74</v>
      </c>
      <c r="C544" s="9" t="s">
        <v>74</v>
      </c>
      <c r="D544" s="9">
        <v>2322</v>
      </c>
      <c r="E544" s="11" t="s">
        <v>105</v>
      </c>
      <c r="F544" s="11" t="str">
        <f t="shared" si="8"/>
        <v>Yes</v>
      </c>
    </row>
    <row r="545" spans="1:6" x14ac:dyDescent="0.3">
      <c r="A545" s="9" t="s">
        <v>11</v>
      </c>
      <c r="B545" s="9" t="s">
        <v>57</v>
      </c>
      <c r="C545" s="9" t="s">
        <v>100</v>
      </c>
      <c r="D545" s="9">
        <v>308</v>
      </c>
      <c r="E545" s="11" t="s">
        <v>106</v>
      </c>
      <c r="F545" s="11" t="str">
        <f t="shared" si="8"/>
        <v>Yes</v>
      </c>
    </row>
    <row r="546" spans="1:6" x14ac:dyDescent="0.3">
      <c r="A546" s="9" t="s">
        <v>11</v>
      </c>
      <c r="B546" s="9" t="s">
        <v>76</v>
      </c>
      <c r="C546" s="9" t="s">
        <v>100</v>
      </c>
      <c r="D546" s="9">
        <v>106</v>
      </c>
      <c r="E546" s="11" t="s">
        <v>107</v>
      </c>
      <c r="F546" s="11" t="str">
        <f t="shared" si="8"/>
        <v>No</v>
      </c>
    </row>
    <row r="547" spans="1:6" x14ac:dyDescent="0.3">
      <c r="A547" s="9" t="s">
        <v>11</v>
      </c>
      <c r="B547" s="9" t="s">
        <v>58</v>
      </c>
      <c r="C547" s="9" t="s">
        <v>100</v>
      </c>
      <c r="D547" s="9">
        <v>94</v>
      </c>
      <c r="E547" s="11" t="s">
        <v>107</v>
      </c>
      <c r="F547" s="11" t="str">
        <f t="shared" si="8"/>
        <v>No</v>
      </c>
    </row>
    <row r="548" spans="1:6" x14ac:dyDescent="0.3">
      <c r="A548" s="9" t="s">
        <v>11</v>
      </c>
      <c r="B548" s="9" t="s">
        <v>59</v>
      </c>
      <c r="C548" s="9" t="s">
        <v>100</v>
      </c>
      <c r="D548" s="9">
        <v>37</v>
      </c>
      <c r="E548" s="11" t="s">
        <v>107</v>
      </c>
      <c r="F548" s="11" t="str">
        <f t="shared" si="8"/>
        <v>No</v>
      </c>
    </row>
    <row r="549" spans="1:6" x14ac:dyDescent="0.3">
      <c r="A549" s="9" t="s">
        <v>11</v>
      </c>
      <c r="B549" s="9" t="s">
        <v>60</v>
      </c>
      <c r="C549" s="9" t="s">
        <v>100</v>
      </c>
      <c r="D549" s="9">
        <v>3</v>
      </c>
      <c r="E549" s="11" t="s">
        <v>107</v>
      </c>
      <c r="F549" s="11" t="str">
        <f t="shared" si="8"/>
        <v>No</v>
      </c>
    </row>
    <row r="550" spans="1:6" x14ac:dyDescent="0.3">
      <c r="A550" s="9" t="s">
        <v>11</v>
      </c>
      <c r="B550" s="9" t="s">
        <v>61</v>
      </c>
      <c r="C550" s="9" t="s">
        <v>100</v>
      </c>
      <c r="D550" s="9">
        <v>68</v>
      </c>
      <c r="E550" s="11" t="s">
        <v>107</v>
      </c>
      <c r="F550" s="11" t="str">
        <f t="shared" si="8"/>
        <v>No</v>
      </c>
    </row>
    <row r="551" spans="1:6" x14ac:dyDescent="0.3">
      <c r="A551" s="9" t="s">
        <v>11</v>
      </c>
      <c r="B551" s="9" t="s">
        <v>78</v>
      </c>
      <c r="C551" s="9" t="s">
        <v>95</v>
      </c>
      <c r="D551" s="9">
        <v>0</v>
      </c>
      <c r="E551" s="11" t="s">
        <v>105</v>
      </c>
      <c r="F551" s="11" t="str">
        <f t="shared" si="8"/>
        <v>Yes</v>
      </c>
    </row>
    <row r="552" spans="1:6" x14ac:dyDescent="0.3">
      <c r="A552" s="9" t="s">
        <v>11</v>
      </c>
      <c r="B552" s="9" t="s">
        <v>62</v>
      </c>
      <c r="C552" s="9" t="s">
        <v>101</v>
      </c>
      <c r="D552" s="9">
        <v>458</v>
      </c>
      <c r="E552" s="11" t="s">
        <v>106</v>
      </c>
      <c r="F552" s="11" t="str">
        <f t="shared" si="8"/>
        <v>Yes</v>
      </c>
    </row>
    <row r="553" spans="1:6" x14ac:dyDescent="0.3">
      <c r="A553" s="9" t="s">
        <v>11</v>
      </c>
      <c r="B553" s="9" t="s">
        <v>63</v>
      </c>
      <c r="C553" s="9" t="s">
        <v>101</v>
      </c>
      <c r="D553" s="9">
        <v>457</v>
      </c>
      <c r="E553" s="11" t="s">
        <v>107</v>
      </c>
      <c r="F553" s="11" t="str">
        <f t="shared" si="8"/>
        <v>No</v>
      </c>
    </row>
    <row r="554" spans="1:6" x14ac:dyDescent="0.3">
      <c r="A554" s="9" t="s">
        <v>11</v>
      </c>
      <c r="B554" s="9" t="s">
        <v>64</v>
      </c>
      <c r="C554" s="9" t="s">
        <v>101</v>
      </c>
      <c r="D554" s="9">
        <v>1</v>
      </c>
      <c r="E554" s="11" t="s">
        <v>107</v>
      </c>
      <c r="F554" s="11" t="str">
        <f t="shared" si="8"/>
        <v>No</v>
      </c>
    </row>
    <row r="555" spans="1:6" x14ac:dyDescent="0.3">
      <c r="A555" s="9" t="s">
        <v>11</v>
      </c>
      <c r="B555" s="9" t="s">
        <v>77</v>
      </c>
      <c r="C555" s="9" t="s">
        <v>102</v>
      </c>
      <c r="D555" s="9">
        <v>3854</v>
      </c>
      <c r="E555" s="11" t="s">
        <v>106</v>
      </c>
      <c r="F555" s="11" t="str">
        <f t="shared" si="8"/>
        <v>Yes</v>
      </c>
    </row>
    <row r="556" spans="1:6" x14ac:dyDescent="0.3">
      <c r="A556" s="9" t="s">
        <v>11</v>
      </c>
      <c r="B556" s="9" t="s">
        <v>65</v>
      </c>
      <c r="C556" s="9" t="s">
        <v>102</v>
      </c>
      <c r="D556" s="9">
        <v>3099</v>
      </c>
      <c r="E556" s="11" t="s">
        <v>107</v>
      </c>
      <c r="F556" s="11" t="str">
        <f t="shared" si="8"/>
        <v>No</v>
      </c>
    </row>
    <row r="557" spans="1:6" x14ac:dyDescent="0.3">
      <c r="A557" s="9" t="s">
        <v>11</v>
      </c>
      <c r="B557" s="9" t="s">
        <v>66</v>
      </c>
      <c r="C557" s="9" t="s">
        <v>102</v>
      </c>
      <c r="D557" s="9">
        <v>506</v>
      </c>
      <c r="E557" s="11" t="s">
        <v>107</v>
      </c>
      <c r="F557" s="11" t="str">
        <f t="shared" si="8"/>
        <v>No</v>
      </c>
    </row>
    <row r="558" spans="1:6" x14ac:dyDescent="0.3">
      <c r="A558" s="9" t="s">
        <v>11</v>
      </c>
      <c r="B558" s="9" t="s">
        <v>67</v>
      </c>
      <c r="C558" s="9" t="s">
        <v>102</v>
      </c>
      <c r="D558" s="9">
        <v>196</v>
      </c>
      <c r="E558" s="11" t="s">
        <v>107</v>
      </c>
      <c r="F558" s="11" t="str">
        <f t="shared" si="8"/>
        <v>No</v>
      </c>
    </row>
    <row r="559" spans="1:6" x14ac:dyDescent="0.3">
      <c r="A559" s="9" t="s">
        <v>11</v>
      </c>
      <c r="B559" s="9" t="s">
        <v>68</v>
      </c>
      <c r="C559" s="9" t="s">
        <v>102</v>
      </c>
      <c r="D559" s="9">
        <v>30</v>
      </c>
      <c r="E559" s="11" t="s">
        <v>107</v>
      </c>
      <c r="F559" s="11" t="str">
        <f t="shared" si="8"/>
        <v>No</v>
      </c>
    </row>
    <row r="560" spans="1:6" x14ac:dyDescent="0.3">
      <c r="A560" s="9" t="s">
        <v>11</v>
      </c>
      <c r="B560" s="9" t="s">
        <v>69</v>
      </c>
      <c r="C560" s="9" t="s">
        <v>102</v>
      </c>
      <c r="D560" s="9">
        <v>22</v>
      </c>
      <c r="E560" s="11" t="s">
        <v>107</v>
      </c>
      <c r="F560" s="11" t="str">
        <f t="shared" si="8"/>
        <v>No</v>
      </c>
    </row>
    <row r="561" spans="1:6" x14ac:dyDescent="0.3">
      <c r="A561" s="9" t="s">
        <v>11</v>
      </c>
      <c r="B561" s="9" t="s">
        <v>70</v>
      </c>
      <c r="C561" s="9" t="s">
        <v>102</v>
      </c>
      <c r="D561" s="9">
        <v>1</v>
      </c>
      <c r="E561" s="11" t="s">
        <v>107</v>
      </c>
      <c r="F561" s="11" t="str">
        <f t="shared" si="8"/>
        <v>No</v>
      </c>
    </row>
    <row r="562" spans="1:6" x14ac:dyDescent="0.3">
      <c r="A562" s="9" t="s">
        <v>11</v>
      </c>
      <c r="B562" s="9" t="s">
        <v>75</v>
      </c>
      <c r="C562" s="9" t="s">
        <v>103</v>
      </c>
      <c r="D562" s="9">
        <v>1</v>
      </c>
      <c r="E562" s="11" t="s">
        <v>105</v>
      </c>
      <c r="F562" s="11" t="str">
        <f t="shared" si="8"/>
        <v>Yes</v>
      </c>
    </row>
    <row r="563" spans="1:6" x14ac:dyDescent="0.3">
      <c r="A563" s="9" t="s">
        <v>12</v>
      </c>
      <c r="B563" s="9" t="s">
        <v>88</v>
      </c>
      <c r="C563" s="9" t="s">
        <v>92</v>
      </c>
      <c r="D563" s="9">
        <v>4</v>
      </c>
      <c r="E563" s="11" t="s">
        <v>105</v>
      </c>
      <c r="F563" s="11" t="str">
        <f t="shared" si="8"/>
        <v>Yes</v>
      </c>
    </row>
    <row r="564" spans="1:6" x14ac:dyDescent="0.3">
      <c r="A564" s="9" t="s">
        <v>12</v>
      </c>
      <c r="B564" s="9" t="s">
        <v>38</v>
      </c>
      <c r="C564" s="9" t="s">
        <v>93</v>
      </c>
      <c r="D564" s="9">
        <v>8</v>
      </c>
      <c r="E564" s="11" t="s">
        <v>105</v>
      </c>
      <c r="F564" s="11" t="str">
        <f t="shared" si="8"/>
        <v>Yes</v>
      </c>
    </row>
    <row r="565" spans="1:6" x14ac:dyDescent="0.3">
      <c r="A565" s="9" t="s">
        <v>12</v>
      </c>
      <c r="B565" s="9" t="s">
        <v>87</v>
      </c>
      <c r="C565" s="9" t="s">
        <v>94</v>
      </c>
      <c r="D565" s="9">
        <v>47</v>
      </c>
      <c r="E565" s="11" t="s">
        <v>105</v>
      </c>
      <c r="F565" s="11" t="str">
        <f t="shared" si="8"/>
        <v>Yes</v>
      </c>
    </row>
    <row r="566" spans="1:6" x14ac:dyDescent="0.3">
      <c r="A566" s="9" t="s">
        <v>12</v>
      </c>
      <c r="B566" s="9" t="s">
        <v>86</v>
      </c>
      <c r="C566" s="9" t="s">
        <v>86</v>
      </c>
      <c r="D566" s="9">
        <v>1</v>
      </c>
      <c r="E566" s="11" t="s">
        <v>105</v>
      </c>
      <c r="F566" s="11" t="str">
        <f t="shared" si="8"/>
        <v>Yes</v>
      </c>
    </row>
    <row r="567" spans="1:6" x14ac:dyDescent="0.3">
      <c r="A567" s="9" t="s">
        <v>12</v>
      </c>
      <c r="B567" s="9" t="s">
        <v>85</v>
      </c>
      <c r="C567" s="9" t="s">
        <v>85</v>
      </c>
      <c r="D567" s="9">
        <v>5</v>
      </c>
      <c r="E567" s="11" t="s">
        <v>105</v>
      </c>
      <c r="F567" s="11" t="str">
        <f t="shared" si="8"/>
        <v>Yes</v>
      </c>
    </row>
    <row r="568" spans="1:6" x14ac:dyDescent="0.3">
      <c r="A568" s="9" t="s">
        <v>12</v>
      </c>
      <c r="B568" s="9" t="s">
        <v>84</v>
      </c>
      <c r="C568" s="9" t="s">
        <v>85</v>
      </c>
      <c r="D568" s="9">
        <v>4</v>
      </c>
      <c r="E568" s="11" t="s">
        <v>105</v>
      </c>
      <c r="F568" s="11" t="str">
        <f t="shared" si="8"/>
        <v>Yes</v>
      </c>
    </row>
    <row r="569" spans="1:6" x14ac:dyDescent="0.3">
      <c r="A569" s="9" t="s">
        <v>12</v>
      </c>
      <c r="B569" s="9" t="s">
        <v>83</v>
      </c>
      <c r="C569" s="9" t="s">
        <v>95</v>
      </c>
      <c r="D569" s="9">
        <v>4710</v>
      </c>
      <c r="E569" s="11" t="s">
        <v>105</v>
      </c>
      <c r="F569" s="11" t="str">
        <f t="shared" si="8"/>
        <v>Yes</v>
      </c>
    </row>
    <row r="570" spans="1:6" x14ac:dyDescent="0.3">
      <c r="A570" s="9" t="s">
        <v>12</v>
      </c>
      <c r="B570" s="9" t="s">
        <v>39</v>
      </c>
      <c r="C570" s="9" t="s">
        <v>40</v>
      </c>
      <c r="D570" s="9">
        <v>191</v>
      </c>
      <c r="E570" s="11" t="s">
        <v>106</v>
      </c>
      <c r="F570" s="11" t="str">
        <f t="shared" si="8"/>
        <v>Yes</v>
      </c>
    </row>
    <row r="571" spans="1:6" x14ac:dyDescent="0.3">
      <c r="A571" s="9" t="s">
        <v>12</v>
      </c>
      <c r="B571" s="9" t="s">
        <v>40</v>
      </c>
      <c r="C571" s="9" t="s">
        <v>40</v>
      </c>
      <c r="D571" s="9">
        <v>104</v>
      </c>
      <c r="E571" s="11" t="s">
        <v>107</v>
      </c>
      <c r="F571" s="11" t="str">
        <f t="shared" si="8"/>
        <v>No</v>
      </c>
    </row>
    <row r="572" spans="1:6" x14ac:dyDescent="0.3">
      <c r="A572" s="9" t="s">
        <v>12</v>
      </c>
      <c r="B572" s="9" t="s">
        <v>41</v>
      </c>
      <c r="C572" s="9" t="s">
        <v>40</v>
      </c>
      <c r="D572" s="9">
        <v>1</v>
      </c>
      <c r="E572" s="11" t="s">
        <v>107</v>
      </c>
      <c r="F572" s="11" t="str">
        <f t="shared" si="8"/>
        <v>No</v>
      </c>
    </row>
    <row r="573" spans="1:6" x14ac:dyDescent="0.3">
      <c r="A573" s="9" t="s">
        <v>12</v>
      </c>
      <c r="B573" s="9" t="s">
        <v>42</v>
      </c>
      <c r="C573" s="9" t="s">
        <v>40</v>
      </c>
      <c r="D573" s="9">
        <v>0</v>
      </c>
      <c r="E573" s="11" t="s">
        <v>107</v>
      </c>
      <c r="F573" s="11" t="str">
        <f t="shared" si="8"/>
        <v>No</v>
      </c>
    </row>
    <row r="574" spans="1:6" x14ac:dyDescent="0.3">
      <c r="A574" s="9" t="s">
        <v>12</v>
      </c>
      <c r="B574" s="9" t="s">
        <v>43</v>
      </c>
      <c r="C574" s="9" t="s">
        <v>40</v>
      </c>
      <c r="D574" s="9">
        <v>39</v>
      </c>
      <c r="E574" s="11" t="s">
        <v>106</v>
      </c>
      <c r="F574" s="11" t="str">
        <f t="shared" si="8"/>
        <v>No</v>
      </c>
    </row>
    <row r="575" spans="1:6" x14ac:dyDescent="0.3">
      <c r="A575" s="9" t="s">
        <v>12</v>
      </c>
      <c r="B575" s="9" t="s">
        <v>44</v>
      </c>
      <c r="C575" s="9" t="s">
        <v>40</v>
      </c>
      <c r="D575" s="9">
        <v>15</v>
      </c>
      <c r="E575" s="11" t="s">
        <v>107</v>
      </c>
      <c r="F575" s="11" t="str">
        <f t="shared" si="8"/>
        <v>No</v>
      </c>
    </row>
    <row r="576" spans="1:6" x14ac:dyDescent="0.3">
      <c r="A576" s="9" t="s">
        <v>12</v>
      </c>
      <c r="B576" s="9" t="s">
        <v>45</v>
      </c>
      <c r="C576" s="9" t="s">
        <v>40</v>
      </c>
      <c r="D576" s="9">
        <v>24</v>
      </c>
      <c r="E576" s="11" t="s">
        <v>107</v>
      </c>
      <c r="F576" s="11" t="str">
        <f t="shared" si="8"/>
        <v>No</v>
      </c>
    </row>
    <row r="577" spans="1:6" x14ac:dyDescent="0.3">
      <c r="A577" s="9" t="s">
        <v>12</v>
      </c>
      <c r="B577" s="9" t="s">
        <v>71</v>
      </c>
      <c r="C577" s="9" t="s">
        <v>40</v>
      </c>
      <c r="D577" s="9">
        <v>2</v>
      </c>
      <c r="E577" s="11" t="s">
        <v>105</v>
      </c>
      <c r="F577" s="11" t="str">
        <f t="shared" si="8"/>
        <v>Yes</v>
      </c>
    </row>
    <row r="578" spans="1:6" x14ac:dyDescent="0.3">
      <c r="A578" s="9" t="s">
        <v>12</v>
      </c>
      <c r="B578" s="9" t="s">
        <v>72</v>
      </c>
      <c r="C578" s="9" t="s">
        <v>40</v>
      </c>
      <c r="D578" s="9">
        <v>0</v>
      </c>
      <c r="E578" s="11" t="s">
        <v>105</v>
      </c>
      <c r="F578" s="11" t="str">
        <f t="shared" ref="F578:F641" si="9">IF(E578="Standalone","Yes",IF(AND(E578="Total",OR(B578="Kidnapping &amp; Abduction (Total)",B578="Rape (Total)",B578="Attempt to Rape (Total)",B578="Assault to Outrage Modesty (Total)",B578="Insult to Modesty (Total)",B578="Immoral Traffic (Prevention) Act (Total)",B578="Women-Centric Cyber Crime (Total)",B578="POCSO (Protection of Children from Sexual Offences Act) (Total)")),"Yes","No"))</f>
        <v>Yes</v>
      </c>
    </row>
    <row r="579" spans="1:6" x14ac:dyDescent="0.3">
      <c r="A579" s="9" t="s">
        <v>12</v>
      </c>
      <c r="B579" s="9" t="s">
        <v>82</v>
      </c>
      <c r="C579" s="9" t="s">
        <v>40</v>
      </c>
      <c r="D579" s="9">
        <v>45</v>
      </c>
      <c r="E579" s="11" t="s">
        <v>105</v>
      </c>
      <c r="F579" s="11" t="str">
        <f t="shared" si="9"/>
        <v>Yes</v>
      </c>
    </row>
    <row r="580" spans="1:6" x14ac:dyDescent="0.3">
      <c r="A580" s="9" t="s">
        <v>12</v>
      </c>
      <c r="B580" s="9" t="s">
        <v>81</v>
      </c>
      <c r="C580" s="9" t="s">
        <v>81</v>
      </c>
      <c r="D580" s="9">
        <v>15</v>
      </c>
      <c r="E580" s="11" t="s">
        <v>105</v>
      </c>
      <c r="F580" s="11" t="str">
        <f t="shared" si="9"/>
        <v>Yes</v>
      </c>
    </row>
    <row r="581" spans="1:6" x14ac:dyDescent="0.3">
      <c r="A581" s="9" t="s">
        <v>12</v>
      </c>
      <c r="B581" s="9" t="s">
        <v>73</v>
      </c>
      <c r="C581" s="9" t="s">
        <v>81</v>
      </c>
      <c r="D581" s="9">
        <v>0</v>
      </c>
      <c r="E581" s="11" t="s">
        <v>105</v>
      </c>
      <c r="F581" s="11" t="str">
        <f t="shared" si="9"/>
        <v>Yes</v>
      </c>
    </row>
    <row r="582" spans="1:6" x14ac:dyDescent="0.3">
      <c r="A582" s="9" t="s">
        <v>12</v>
      </c>
      <c r="B582" s="9" t="s">
        <v>80</v>
      </c>
      <c r="C582" s="9" t="s">
        <v>81</v>
      </c>
      <c r="D582" s="9">
        <v>0</v>
      </c>
      <c r="E582" s="11" t="s">
        <v>105</v>
      </c>
      <c r="F582" s="11" t="str">
        <f t="shared" si="9"/>
        <v>Yes</v>
      </c>
    </row>
    <row r="583" spans="1:6" x14ac:dyDescent="0.3">
      <c r="A583" s="9" t="s">
        <v>12</v>
      </c>
      <c r="B583" s="9" t="s">
        <v>79</v>
      </c>
      <c r="C583" s="9" t="s">
        <v>96</v>
      </c>
      <c r="D583" s="9">
        <v>843</v>
      </c>
      <c r="E583" s="11" t="s">
        <v>106</v>
      </c>
      <c r="F583" s="11" t="str">
        <f t="shared" si="9"/>
        <v>Yes</v>
      </c>
    </row>
    <row r="584" spans="1:6" x14ac:dyDescent="0.3">
      <c r="A584" s="9" t="s">
        <v>12</v>
      </c>
      <c r="B584" s="9" t="s">
        <v>46</v>
      </c>
      <c r="C584" s="9" t="s">
        <v>96</v>
      </c>
      <c r="D584" s="9">
        <v>843</v>
      </c>
      <c r="E584" s="11" t="s">
        <v>107</v>
      </c>
      <c r="F584" s="11" t="str">
        <f t="shared" si="9"/>
        <v>No</v>
      </c>
    </row>
    <row r="585" spans="1:6" x14ac:dyDescent="0.3">
      <c r="A585" s="9" t="s">
        <v>12</v>
      </c>
      <c r="B585" s="9" t="s">
        <v>47</v>
      </c>
      <c r="C585" s="9" t="s">
        <v>96</v>
      </c>
      <c r="D585" s="9">
        <v>0</v>
      </c>
      <c r="E585" s="11" t="s">
        <v>107</v>
      </c>
      <c r="F585" s="11" t="str">
        <f t="shared" si="9"/>
        <v>No</v>
      </c>
    </row>
    <row r="586" spans="1:6" x14ac:dyDescent="0.3">
      <c r="A586" s="9" t="s">
        <v>12</v>
      </c>
      <c r="B586" s="9" t="s">
        <v>48</v>
      </c>
      <c r="C586" s="9" t="s">
        <v>97</v>
      </c>
      <c r="D586" s="9">
        <v>54</v>
      </c>
      <c r="E586" s="11" t="s">
        <v>106</v>
      </c>
      <c r="F586" s="11" t="str">
        <f t="shared" si="9"/>
        <v>Yes</v>
      </c>
    </row>
    <row r="587" spans="1:6" x14ac:dyDescent="0.3">
      <c r="A587" s="9" t="s">
        <v>12</v>
      </c>
      <c r="B587" s="9" t="s">
        <v>49</v>
      </c>
      <c r="C587" s="9" t="s">
        <v>97</v>
      </c>
      <c r="D587" s="9">
        <v>54</v>
      </c>
      <c r="E587" s="11" t="s">
        <v>107</v>
      </c>
      <c r="F587" s="11" t="str">
        <f t="shared" si="9"/>
        <v>No</v>
      </c>
    </row>
    <row r="588" spans="1:6" x14ac:dyDescent="0.3">
      <c r="A588" s="9" t="s">
        <v>12</v>
      </c>
      <c r="B588" s="9" t="s">
        <v>50</v>
      </c>
      <c r="C588" s="9" t="s">
        <v>97</v>
      </c>
      <c r="D588" s="9">
        <v>0</v>
      </c>
      <c r="E588" s="11" t="s">
        <v>107</v>
      </c>
      <c r="F588" s="11" t="str">
        <f t="shared" si="9"/>
        <v>No</v>
      </c>
    </row>
    <row r="589" spans="1:6" x14ac:dyDescent="0.3">
      <c r="A589" s="9" t="s">
        <v>12</v>
      </c>
      <c r="B589" s="9" t="s">
        <v>51</v>
      </c>
      <c r="C589" s="9" t="s">
        <v>99</v>
      </c>
      <c r="D589" s="9">
        <v>4816</v>
      </c>
      <c r="E589" s="11" t="s">
        <v>106</v>
      </c>
      <c r="F589" s="11" t="str">
        <f t="shared" si="9"/>
        <v>Yes</v>
      </c>
    </row>
    <row r="590" spans="1:6" x14ac:dyDescent="0.3">
      <c r="A590" s="9" t="s">
        <v>12</v>
      </c>
      <c r="B590" s="9" t="s">
        <v>52</v>
      </c>
      <c r="C590" s="9" t="s">
        <v>99</v>
      </c>
      <c r="D590" s="9">
        <v>4586</v>
      </c>
      <c r="E590" s="11" t="s">
        <v>107</v>
      </c>
      <c r="F590" s="11" t="str">
        <f t="shared" si="9"/>
        <v>No</v>
      </c>
    </row>
    <row r="591" spans="1:6" x14ac:dyDescent="0.3">
      <c r="A591" s="9" t="s">
        <v>12</v>
      </c>
      <c r="B591" s="9" t="s">
        <v>53</v>
      </c>
      <c r="C591" s="9" t="s">
        <v>99</v>
      </c>
      <c r="D591" s="9">
        <v>230</v>
      </c>
      <c r="E591" s="11" t="s">
        <v>107</v>
      </c>
      <c r="F591" s="11" t="str">
        <f t="shared" si="9"/>
        <v>No</v>
      </c>
    </row>
    <row r="592" spans="1:6" x14ac:dyDescent="0.3">
      <c r="A592" s="9" t="s">
        <v>12</v>
      </c>
      <c r="B592" s="9" t="s">
        <v>54</v>
      </c>
      <c r="C592" s="9" t="s">
        <v>98</v>
      </c>
      <c r="D592" s="9">
        <v>679</v>
      </c>
      <c r="E592" s="11" t="s">
        <v>106</v>
      </c>
      <c r="F592" s="11" t="str">
        <f t="shared" si="9"/>
        <v>Yes</v>
      </c>
    </row>
    <row r="593" spans="1:6" x14ac:dyDescent="0.3">
      <c r="A593" s="9" t="s">
        <v>12</v>
      </c>
      <c r="B593" s="9" t="s">
        <v>55</v>
      </c>
      <c r="C593" s="9" t="s">
        <v>98</v>
      </c>
      <c r="D593" s="9">
        <v>671</v>
      </c>
      <c r="E593" s="11" t="s">
        <v>107</v>
      </c>
      <c r="F593" s="11" t="str">
        <f t="shared" si="9"/>
        <v>No</v>
      </c>
    </row>
    <row r="594" spans="1:6" x14ac:dyDescent="0.3">
      <c r="A594" s="9" t="s">
        <v>12</v>
      </c>
      <c r="B594" s="9" t="s">
        <v>56</v>
      </c>
      <c r="C594" s="9" t="s">
        <v>98</v>
      </c>
      <c r="D594" s="9">
        <v>8</v>
      </c>
      <c r="E594" s="11" t="s">
        <v>107</v>
      </c>
      <c r="F594" s="11" t="str">
        <f t="shared" si="9"/>
        <v>No</v>
      </c>
    </row>
    <row r="595" spans="1:6" x14ac:dyDescent="0.3">
      <c r="A595" s="9" t="s">
        <v>12</v>
      </c>
      <c r="B595" s="9" t="s">
        <v>74</v>
      </c>
      <c r="C595" s="9" t="s">
        <v>74</v>
      </c>
      <c r="D595" s="9">
        <v>21</v>
      </c>
      <c r="E595" s="11" t="s">
        <v>105</v>
      </c>
      <c r="F595" s="11" t="str">
        <f t="shared" si="9"/>
        <v>Yes</v>
      </c>
    </row>
    <row r="596" spans="1:6" x14ac:dyDescent="0.3">
      <c r="A596" s="9" t="s">
        <v>12</v>
      </c>
      <c r="B596" s="9" t="s">
        <v>57</v>
      </c>
      <c r="C596" s="9" t="s">
        <v>100</v>
      </c>
      <c r="D596" s="9">
        <v>13</v>
      </c>
      <c r="E596" s="11" t="s">
        <v>106</v>
      </c>
      <c r="F596" s="11" t="str">
        <f t="shared" si="9"/>
        <v>Yes</v>
      </c>
    </row>
    <row r="597" spans="1:6" x14ac:dyDescent="0.3">
      <c r="A597" s="9" t="s">
        <v>12</v>
      </c>
      <c r="B597" s="9" t="s">
        <v>76</v>
      </c>
      <c r="C597" s="9" t="s">
        <v>100</v>
      </c>
      <c r="D597" s="9">
        <v>0</v>
      </c>
      <c r="E597" s="11" t="s">
        <v>107</v>
      </c>
      <c r="F597" s="11" t="str">
        <f t="shared" si="9"/>
        <v>No</v>
      </c>
    </row>
    <row r="598" spans="1:6" x14ac:dyDescent="0.3">
      <c r="A598" s="9" t="s">
        <v>12</v>
      </c>
      <c r="B598" s="9" t="s">
        <v>58</v>
      </c>
      <c r="C598" s="9" t="s">
        <v>100</v>
      </c>
      <c r="D598" s="9">
        <v>1</v>
      </c>
      <c r="E598" s="11" t="s">
        <v>107</v>
      </c>
      <c r="F598" s="11" t="str">
        <f t="shared" si="9"/>
        <v>No</v>
      </c>
    </row>
    <row r="599" spans="1:6" x14ac:dyDescent="0.3">
      <c r="A599" s="9" t="s">
        <v>12</v>
      </c>
      <c r="B599" s="9" t="s">
        <v>59</v>
      </c>
      <c r="C599" s="9" t="s">
        <v>100</v>
      </c>
      <c r="D599" s="9">
        <v>3</v>
      </c>
      <c r="E599" s="11" t="s">
        <v>107</v>
      </c>
      <c r="F599" s="11" t="str">
        <f t="shared" si="9"/>
        <v>No</v>
      </c>
    </row>
    <row r="600" spans="1:6" x14ac:dyDescent="0.3">
      <c r="A600" s="9" t="s">
        <v>12</v>
      </c>
      <c r="B600" s="9" t="s">
        <v>60</v>
      </c>
      <c r="C600" s="9" t="s">
        <v>100</v>
      </c>
      <c r="D600" s="9">
        <v>1</v>
      </c>
      <c r="E600" s="11" t="s">
        <v>107</v>
      </c>
      <c r="F600" s="11" t="str">
        <f t="shared" si="9"/>
        <v>No</v>
      </c>
    </row>
    <row r="601" spans="1:6" x14ac:dyDescent="0.3">
      <c r="A601" s="9" t="s">
        <v>12</v>
      </c>
      <c r="B601" s="9" t="s">
        <v>61</v>
      </c>
      <c r="C601" s="9" t="s">
        <v>100</v>
      </c>
      <c r="D601" s="9">
        <v>8</v>
      </c>
      <c r="E601" s="11" t="s">
        <v>107</v>
      </c>
      <c r="F601" s="11" t="str">
        <f t="shared" si="9"/>
        <v>No</v>
      </c>
    </row>
    <row r="602" spans="1:6" x14ac:dyDescent="0.3">
      <c r="A602" s="9" t="s">
        <v>12</v>
      </c>
      <c r="B602" s="9" t="s">
        <v>78</v>
      </c>
      <c r="C602" s="9" t="s">
        <v>95</v>
      </c>
      <c r="D602" s="9">
        <v>480</v>
      </c>
      <c r="E602" s="11" t="s">
        <v>105</v>
      </c>
      <c r="F602" s="11" t="str">
        <f t="shared" si="9"/>
        <v>Yes</v>
      </c>
    </row>
    <row r="603" spans="1:6" x14ac:dyDescent="0.3">
      <c r="A603" s="9" t="s">
        <v>12</v>
      </c>
      <c r="B603" s="9" t="s">
        <v>62</v>
      </c>
      <c r="C603" s="9" t="s">
        <v>101</v>
      </c>
      <c r="D603" s="9">
        <v>369</v>
      </c>
      <c r="E603" s="11" t="s">
        <v>106</v>
      </c>
      <c r="F603" s="11" t="str">
        <f t="shared" si="9"/>
        <v>Yes</v>
      </c>
    </row>
    <row r="604" spans="1:6" x14ac:dyDescent="0.3">
      <c r="A604" s="9" t="s">
        <v>12</v>
      </c>
      <c r="B604" s="9" t="s">
        <v>63</v>
      </c>
      <c r="C604" s="9" t="s">
        <v>101</v>
      </c>
      <c r="D604" s="9">
        <v>333</v>
      </c>
      <c r="E604" s="11" t="s">
        <v>107</v>
      </c>
      <c r="F604" s="11" t="str">
        <f t="shared" si="9"/>
        <v>No</v>
      </c>
    </row>
    <row r="605" spans="1:6" x14ac:dyDescent="0.3">
      <c r="A605" s="9" t="s">
        <v>12</v>
      </c>
      <c r="B605" s="9" t="s">
        <v>64</v>
      </c>
      <c r="C605" s="9" t="s">
        <v>101</v>
      </c>
      <c r="D605" s="9">
        <v>36</v>
      </c>
      <c r="E605" s="11" t="s">
        <v>107</v>
      </c>
      <c r="F605" s="11" t="str">
        <f t="shared" si="9"/>
        <v>No</v>
      </c>
    </row>
    <row r="606" spans="1:6" x14ac:dyDescent="0.3">
      <c r="A606" s="9" t="s">
        <v>12</v>
      </c>
      <c r="B606" s="9" t="s">
        <v>77</v>
      </c>
      <c r="C606" s="9" t="s">
        <v>102</v>
      </c>
      <c r="D606" s="9">
        <v>3765</v>
      </c>
      <c r="E606" s="11" t="s">
        <v>106</v>
      </c>
      <c r="F606" s="11" t="str">
        <f t="shared" si="9"/>
        <v>Yes</v>
      </c>
    </row>
    <row r="607" spans="1:6" x14ac:dyDescent="0.3">
      <c r="A607" s="9" t="s">
        <v>12</v>
      </c>
      <c r="B607" s="9" t="s">
        <v>65</v>
      </c>
      <c r="C607" s="9" t="s">
        <v>102</v>
      </c>
      <c r="D607" s="9">
        <v>1719</v>
      </c>
      <c r="E607" s="11" t="s">
        <v>107</v>
      </c>
      <c r="F607" s="11" t="str">
        <f t="shared" si="9"/>
        <v>No</v>
      </c>
    </row>
    <row r="608" spans="1:6" x14ac:dyDescent="0.3">
      <c r="A608" s="9" t="s">
        <v>12</v>
      </c>
      <c r="B608" s="9" t="s">
        <v>66</v>
      </c>
      <c r="C608" s="9" t="s">
        <v>102</v>
      </c>
      <c r="D608" s="9">
        <v>1529</v>
      </c>
      <c r="E608" s="11" t="s">
        <v>107</v>
      </c>
      <c r="F608" s="11" t="str">
        <f t="shared" si="9"/>
        <v>No</v>
      </c>
    </row>
    <row r="609" spans="1:6" x14ac:dyDescent="0.3">
      <c r="A609" s="9" t="s">
        <v>12</v>
      </c>
      <c r="B609" s="9" t="s">
        <v>67</v>
      </c>
      <c r="C609" s="9" t="s">
        <v>102</v>
      </c>
      <c r="D609" s="9">
        <v>469</v>
      </c>
      <c r="E609" s="11" t="s">
        <v>107</v>
      </c>
      <c r="F609" s="11" t="str">
        <f t="shared" si="9"/>
        <v>No</v>
      </c>
    </row>
    <row r="610" spans="1:6" x14ac:dyDescent="0.3">
      <c r="A610" s="9" t="s">
        <v>12</v>
      </c>
      <c r="B610" s="9" t="s">
        <v>68</v>
      </c>
      <c r="C610" s="9" t="s">
        <v>102</v>
      </c>
      <c r="D610" s="9">
        <v>34</v>
      </c>
      <c r="E610" s="11" t="s">
        <v>107</v>
      </c>
      <c r="F610" s="11" t="str">
        <f t="shared" si="9"/>
        <v>No</v>
      </c>
    </row>
    <row r="611" spans="1:6" x14ac:dyDescent="0.3">
      <c r="A611" s="9" t="s">
        <v>12</v>
      </c>
      <c r="B611" s="9" t="s">
        <v>69</v>
      </c>
      <c r="C611" s="9" t="s">
        <v>102</v>
      </c>
      <c r="D611" s="9">
        <v>14</v>
      </c>
      <c r="E611" s="11" t="s">
        <v>107</v>
      </c>
      <c r="F611" s="11" t="str">
        <f t="shared" si="9"/>
        <v>No</v>
      </c>
    </row>
    <row r="612" spans="1:6" x14ac:dyDescent="0.3">
      <c r="A612" s="9" t="s">
        <v>12</v>
      </c>
      <c r="B612" s="9" t="s">
        <v>70</v>
      </c>
      <c r="C612" s="9" t="s">
        <v>102</v>
      </c>
      <c r="D612" s="9">
        <v>0</v>
      </c>
      <c r="E612" s="11" t="s">
        <v>107</v>
      </c>
      <c r="F612" s="11" t="str">
        <f t="shared" si="9"/>
        <v>No</v>
      </c>
    </row>
    <row r="613" spans="1:6" x14ac:dyDescent="0.3">
      <c r="A613" s="9" t="s">
        <v>12</v>
      </c>
      <c r="B613" s="9" t="s">
        <v>75</v>
      </c>
      <c r="C613" s="9" t="s">
        <v>103</v>
      </c>
      <c r="D613" s="9">
        <v>0</v>
      </c>
      <c r="E613" s="11" t="s">
        <v>105</v>
      </c>
      <c r="F613" s="11" t="str">
        <f t="shared" si="9"/>
        <v>Yes</v>
      </c>
    </row>
    <row r="614" spans="1:6" x14ac:dyDescent="0.3">
      <c r="A614" s="9" t="s">
        <v>13</v>
      </c>
      <c r="B614" s="9" t="s">
        <v>88</v>
      </c>
      <c r="C614" s="9" t="s">
        <v>92</v>
      </c>
      <c r="D614" s="9">
        <v>29</v>
      </c>
      <c r="E614" s="11" t="s">
        <v>105</v>
      </c>
      <c r="F614" s="11" t="str">
        <f t="shared" si="9"/>
        <v>Yes</v>
      </c>
    </row>
    <row r="615" spans="1:6" x14ac:dyDescent="0.3">
      <c r="A615" s="9" t="s">
        <v>13</v>
      </c>
      <c r="B615" s="9" t="s">
        <v>38</v>
      </c>
      <c r="C615" s="9" t="s">
        <v>93</v>
      </c>
      <c r="D615" s="9">
        <v>468</v>
      </c>
      <c r="E615" s="11" t="s">
        <v>105</v>
      </c>
      <c r="F615" s="11" t="str">
        <f t="shared" si="9"/>
        <v>Yes</v>
      </c>
    </row>
    <row r="616" spans="1:6" x14ac:dyDescent="0.3">
      <c r="A616" s="9" t="s">
        <v>13</v>
      </c>
      <c r="B616" s="9" t="s">
        <v>87</v>
      </c>
      <c r="C616" s="9" t="s">
        <v>94</v>
      </c>
      <c r="D616" s="9">
        <v>716</v>
      </c>
      <c r="E616" s="11" t="s">
        <v>105</v>
      </c>
      <c r="F616" s="11" t="str">
        <f t="shared" si="9"/>
        <v>Yes</v>
      </c>
    </row>
    <row r="617" spans="1:6" x14ac:dyDescent="0.3">
      <c r="A617" s="9" t="s">
        <v>13</v>
      </c>
      <c r="B617" s="9" t="s">
        <v>86</v>
      </c>
      <c r="C617" s="9" t="s">
        <v>86</v>
      </c>
      <c r="D617" s="9">
        <v>24</v>
      </c>
      <c r="E617" s="11" t="s">
        <v>105</v>
      </c>
      <c r="F617" s="11" t="str">
        <f t="shared" si="9"/>
        <v>Yes</v>
      </c>
    </row>
    <row r="618" spans="1:6" x14ac:dyDescent="0.3">
      <c r="A618" s="9" t="s">
        <v>13</v>
      </c>
      <c r="B618" s="9" t="s">
        <v>85</v>
      </c>
      <c r="C618" s="9" t="s">
        <v>85</v>
      </c>
      <c r="D618" s="9">
        <v>3</v>
      </c>
      <c r="E618" s="11" t="s">
        <v>105</v>
      </c>
      <c r="F618" s="11" t="str">
        <f t="shared" si="9"/>
        <v>Yes</v>
      </c>
    </row>
    <row r="619" spans="1:6" x14ac:dyDescent="0.3">
      <c r="A619" s="9" t="s">
        <v>13</v>
      </c>
      <c r="B619" s="9" t="s">
        <v>84</v>
      </c>
      <c r="C619" s="9" t="s">
        <v>85</v>
      </c>
      <c r="D619" s="9">
        <v>2</v>
      </c>
      <c r="E619" s="11" t="s">
        <v>105</v>
      </c>
      <c r="F619" s="11" t="str">
        <f t="shared" si="9"/>
        <v>Yes</v>
      </c>
    </row>
    <row r="620" spans="1:6" x14ac:dyDescent="0.3">
      <c r="A620" s="9" t="s">
        <v>13</v>
      </c>
      <c r="B620" s="9" t="s">
        <v>83</v>
      </c>
      <c r="C620" s="9" t="s">
        <v>95</v>
      </c>
      <c r="D620" s="9">
        <v>7577</v>
      </c>
      <c r="E620" s="11" t="s">
        <v>105</v>
      </c>
      <c r="F620" s="11" t="str">
        <f t="shared" si="9"/>
        <v>Yes</v>
      </c>
    </row>
    <row r="621" spans="1:6" x14ac:dyDescent="0.3">
      <c r="A621" s="9" t="s">
        <v>13</v>
      </c>
      <c r="B621" s="9" t="s">
        <v>39</v>
      </c>
      <c r="C621" s="9" t="s">
        <v>40</v>
      </c>
      <c r="D621" s="9">
        <v>8557</v>
      </c>
      <c r="E621" s="11" t="s">
        <v>106</v>
      </c>
      <c r="F621" s="11" t="str">
        <f t="shared" si="9"/>
        <v>Yes</v>
      </c>
    </row>
    <row r="622" spans="1:6" x14ac:dyDescent="0.3">
      <c r="A622" s="9" t="s">
        <v>13</v>
      </c>
      <c r="B622" s="9" t="s">
        <v>40</v>
      </c>
      <c r="C622" s="9" t="s">
        <v>40</v>
      </c>
      <c r="D622" s="9">
        <v>6833</v>
      </c>
      <c r="E622" s="11" t="s">
        <v>107</v>
      </c>
      <c r="F622" s="11" t="str">
        <f t="shared" si="9"/>
        <v>No</v>
      </c>
    </row>
    <row r="623" spans="1:6" x14ac:dyDescent="0.3">
      <c r="A623" s="9" t="s">
        <v>13</v>
      </c>
      <c r="B623" s="9" t="s">
        <v>41</v>
      </c>
      <c r="C623" s="9" t="s">
        <v>40</v>
      </c>
      <c r="D623" s="9">
        <v>1</v>
      </c>
      <c r="E623" s="11" t="s">
        <v>107</v>
      </c>
      <c r="F623" s="11" t="str">
        <f t="shared" si="9"/>
        <v>No</v>
      </c>
    </row>
    <row r="624" spans="1:6" x14ac:dyDescent="0.3">
      <c r="A624" s="9" t="s">
        <v>13</v>
      </c>
      <c r="B624" s="9" t="s">
        <v>42</v>
      </c>
      <c r="C624" s="9" t="s">
        <v>40</v>
      </c>
      <c r="D624" s="9">
        <v>3</v>
      </c>
      <c r="E624" s="11" t="s">
        <v>107</v>
      </c>
      <c r="F624" s="11" t="str">
        <f t="shared" si="9"/>
        <v>No</v>
      </c>
    </row>
    <row r="625" spans="1:6" x14ac:dyDescent="0.3">
      <c r="A625" s="9" t="s">
        <v>13</v>
      </c>
      <c r="B625" s="9" t="s">
        <v>43</v>
      </c>
      <c r="C625" s="9" t="s">
        <v>40</v>
      </c>
      <c r="D625" s="9">
        <v>1673</v>
      </c>
      <c r="E625" s="11" t="s">
        <v>106</v>
      </c>
      <c r="F625" s="11" t="str">
        <f t="shared" si="9"/>
        <v>No</v>
      </c>
    </row>
    <row r="626" spans="1:6" x14ac:dyDescent="0.3">
      <c r="A626" s="9" t="s">
        <v>13</v>
      </c>
      <c r="B626" s="9" t="s">
        <v>44</v>
      </c>
      <c r="C626" s="9" t="s">
        <v>40</v>
      </c>
      <c r="D626" s="9">
        <v>51</v>
      </c>
      <c r="E626" s="11" t="s">
        <v>107</v>
      </c>
      <c r="F626" s="11" t="str">
        <f t="shared" si="9"/>
        <v>No</v>
      </c>
    </row>
    <row r="627" spans="1:6" x14ac:dyDescent="0.3">
      <c r="A627" s="9" t="s">
        <v>13</v>
      </c>
      <c r="B627" s="9" t="s">
        <v>45</v>
      </c>
      <c r="C627" s="9" t="s">
        <v>40</v>
      </c>
      <c r="D627" s="9">
        <v>1622</v>
      </c>
      <c r="E627" s="11" t="s">
        <v>107</v>
      </c>
      <c r="F627" s="11" t="str">
        <f t="shared" si="9"/>
        <v>No</v>
      </c>
    </row>
    <row r="628" spans="1:6" x14ac:dyDescent="0.3">
      <c r="A628" s="9" t="s">
        <v>13</v>
      </c>
      <c r="B628" s="9" t="s">
        <v>71</v>
      </c>
      <c r="C628" s="9" t="s">
        <v>40</v>
      </c>
      <c r="D628" s="9">
        <v>33</v>
      </c>
      <c r="E628" s="11" t="s">
        <v>105</v>
      </c>
      <c r="F628" s="11" t="str">
        <f t="shared" si="9"/>
        <v>Yes</v>
      </c>
    </row>
    <row r="629" spans="1:6" x14ac:dyDescent="0.3">
      <c r="A629" s="9" t="s">
        <v>13</v>
      </c>
      <c r="B629" s="9" t="s">
        <v>72</v>
      </c>
      <c r="C629" s="9" t="s">
        <v>40</v>
      </c>
      <c r="D629" s="9">
        <v>0</v>
      </c>
      <c r="E629" s="11" t="s">
        <v>105</v>
      </c>
      <c r="F629" s="11" t="str">
        <f t="shared" si="9"/>
        <v>Yes</v>
      </c>
    </row>
    <row r="630" spans="1:6" x14ac:dyDescent="0.3">
      <c r="A630" s="9" t="s">
        <v>13</v>
      </c>
      <c r="B630" s="9" t="s">
        <v>82</v>
      </c>
      <c r="C630" s="9" t="s">
        <v>40</v>
      </c>
      <c r="D630" s="9">
        <v>14</v>
      </c>
      <c r="E630" s="11" t="s">
        <v>105</v>
      </c>
      <c r="F630" s="11" t="str">
        <f t="shared" si="9"/>
        <v>Yes</v>
      </c>
    </row>
    <row r="631" spans="1:6" x14ac:dyDescent="0.3">
      <c r="A631" s="9" t="s">
        <v>13</v>
      </c>
      <c r="B631" s="9" t="s">
        <v>81</v>
      </c>
      <c r="C631" s="9" t="s">
        <v>81</v>
      </c>
      <c r="D631" s="9">
        <v>33</v>
      </c>
      <c r="E631" s="11" t="s">
        <v>105</v>
      </c>
      <c r="F631" s="11" t="str">
        <f t="shared" si="9"/>
        <v>Yes</v>
      </c>
    </row>
    <row r="632" spans="1:6" x14ac:dyDescent="0.3">
      <c r="A632" s="9" t="s">
        <v>13</v>
      </c>
      <c r="B632" s="9" t="s">
        <v>73</v>
      </c>
      <c r="C632" s="9" t="s">
        <v>81</v>
      </c>
      <c r="D632" s="9">
        <v>2</v>
      </c>
      <c r="E632" s="11" t="s">
        <v>105</v>
      </c>
      <c r="F632" s="11" t="str">
        <f t="shared" si="9"/>
        <v>Yes</v>
      </c>
    </row>
    <row r="633" spans="1:6" x14ac:dyDescent="0.3">
      <c r="A633" s="9" t="s">
        <v>13</v>
      </c>
      <c r="B633" s="9" t="s">
        <v>80</v>
      </c>
      <c r="C633" s="9" t="s">
        <v>81</v>
      </c>
      <c r="D633" s="9">
        <v>2</v>
      </c>
      <c r="E633" s="11" t="s">
        <v>105</v>
      </c>
      <c r="F633" s="11" t="str">
        <f t="shared" si="9"/>
        <v>Yes</v>
      </c>
    </row>
    <row r="634" spans="1:6" x14ac:dyDescent="0.3">
      <c r="A634" s="9" t="s">
        <v>13</v>
      </c>
      <c r="B634" s="9" t="s">
        <v>79</v>
      </c>
      <c r="C634" s="9" t="s">
        <v>96</v>
      </c>
      <c r="D634" s="9">
        <v>2979</v>
      </c>
      <c r="E634" s="11" t="s">
        <v>106</v>
      </c>
      <c r="F634" s="11" t="str">
        <f t="shared" si="9"/>
        <v>Yes</v>
      </c>
    </row>
    <row r="635" spans="1:6" x14ac:dyDescent="0.3">
      <c r="A635" s="9" t="s">
        <v>13</v>
      </c>
      <c r="B635" s="9" t="s">
        <v>46</v>
      </c>
      <c r="C635" s="9" t="s">
        <v>96</v>
      </c>
      <c r="D635" s="9">
        <v>2979</v>
      </c>
      <c r="E635" s="11" t="s">
        <v>107</v>
      </c>
      <c r="F635" s="11" t="str">
        <f t="shared" si="9"/>
        <v>No</v>
      </c>
    </row>
    <row r="636" spans="1:6" x14ac:dyDescent="0.3">
      <c r="A636" s="9" t="s">
        <v>13</v>
      </c>
      <c r="B636" s="9" t="s">
        <v>47</v>
      </c>
      <c r="C636" s="9" t="s">
        <v>96</v>
      </c>
      <c r="D636" s="9">
        <v>0</v>
      </c>
      <c r="E636" s="11" t="s">
        <v>107</v>
      </c>
      <c r="F636" s="11" t="str">
        <f t="shared" si="9"/>
        <v>No</v>
      </c>
    </row>
    <row r="637" spans="1:6" x14ac:dyDescent="0.3">
      <c r="A637" s="9" t="s">
        <v>13</v>
      </c>
      <c r="B637" s="9" t="s">
        <v>48</v>
      </c>
      <c r="C637" s="9" t="s">
        <v>97</v>
      </c>
      <c r="D637" s="9">
        <v>38</v>
      </c>
      <c r="E637" s="11" t="s">
        <v>106</v>
      </c>
      <c r="F637" s="11" t="str">
        <f t="shared" si="9"/>
        <v>Yes</v>
      </c>
    </row>
    <row r="638" spans="1:6" x14ac:dyDescent="0.3">
      <c r="A638" s="9" t="s">
        <v>13</v>
      </c>
      <c r="B638" s="9" t="s">
        <v>49</v>
      </c>
      <c r="C638" s="9" t="s">
        <v>97</v>
      </c>
      <c r="D638" s="9">
        <v>23</v>
      </c>
      <c r="E638" s="11" t="s">
        <v>107</v>
      </c>
      <c r="F638" s="11" t="str">
        <f t="shared" si="9"/>
        <v>No</v>
      </c>
    </row>
    <row r="639" spans="1:6" x14ac:dyDescent="0.3">
      <c r="A639" s="9" t="s">
        <v>13</v>
      </c>
      <c r="B639" s="9" t="s">
        <v>50</v>
      </c>
      <c r="C639" s="9" t="s">
        <v>97</v>
      </c>
      <c r="D639" s="9">
        <v>15</v>
      </c>
      <c r="E639" s="11" t="s">
        <v>107</v>
      </c>
      <c r="F639" s="11" t="str">
        <f t="shared" si="9"/>
        <v>No</v>
      </c>
    </row>
    <row r="640" spans="1:6" x14ac:dyDescent="0.3">
      <c r="A640" s="9" t="s">
        <v>13</v>
      </c>
      <c r="B640" s="9" t="s">
        <v>51</v>
      </c>
      <c r="C640" s="9" t="s">
        <v>99</v>
      </c>
      <c r="D640" s="9">
        <v>5078</v>
      </c>
      <c r="E640" s="11" t="s">
        <v>106</v>
      </c>
      <c r="F640" s="11" t="str">
        <f t="shared" si="9"/>
        <v>Yes</v>
      </c>
    </row>
    <row r="641" spans="1:6" x14ac:dyDescent="0.3">
      <c r="A641" s="9" t="s">
        <v>13</v>
      </c>
      <c r="B641" s="9" t="s">
        <v>52</v>
      </c>
      <c r="C641" s="9" t="s">
        <v>99</v>
      </c>
      <c r="D641" s="9">
        <v>5077</v>
      </c>
      <c r="E641" s="11" t="s">
        <v>107</v>
      </c>
      <c r="F641" s="11" t="str">
        <f t="shared" si="9"/>
        <v>No</v>
      </c>
    </row>
    <row r="642" spans="1:6" x14ac:dyDescent="0.3">
      <c r="A642" s="9" t="s">
        <v>13</v>
      </c>
      <c r="B642" s="9" t="s">
        <v>53</v>
      </c>
      <c r="C642" s="9" t="s">
        <v>99</v>
      </c>
      <c r="D642" s="9">
        <v>1</v>
      </c>
      <c r="E642" s="11" t="s">
        <v>107</v>
      </c>
      <c r="F642" s="11" t="str">
        <f t="shared" ref="F642:F705" si="10">IF(E642="Standalone","Yes",IF(AND(E642="Total",OR(B642="Kidnapping &amp; Abduction (Total)",B642="Rape (Total)",B642="Attempt to Rape (Total)",B642="Assault to Outrage Modesty (Total)",B642="Insult to Modesty (Total)",B642="Immoral Traffic (Prevention) Act (Total)",B642="Women-Centric Cyber Crime (Total)",B642="POCSO (Protection of Children from Sexual Offences Act) (Total)")),"Yes","No"))</f>
        <v>No</v>
      </c>
    </row>
    <row r="643" spans="1:6" x14ac:dyDescent="0.3">
      <c r="A643" s="9" t="s">
        <v>13</v>
      </c>
      <c r="B643" s="9" t="s">
        <v>54</v>
      </c>
      <c r="C643" s="9" t="s">
        <v>98</v>
      </c>
      <c r="D643" s="9">
        <v>243</v>
      </c>
      <c r="E643" s="11" t="s">
        <v>106</v>
      </c>
      <c r="F643" s="11" t="str">
        <f t="shared" si="10"/>
        <v>Yes</v>
      </c>
    </row>
    <row r="644" spans="1:6" x14ac:dyDescent="0.3">
      <c r="A644" s="9" t="s">
        <v>13</v>
      </c>
      <c r="B644" s="9" t="s">
        <v>55</v>
      </c>
      <c r="C644" s="9" t="s">
        <v>98</v>
      </c>
      <c r="D644" s="9">
        <v>237</v>
      </c>
      <c r="E644" s="11" t="s">
        <v>107</v>
      </c>
      <c r="F644" s="11" t="str">
        <f t="shared" si="10"/>
        <v>No</v>
      </c>
    </row>
    <row r="645" spans="1:6" x14ac:dyDescent="0.3">
      <c r="A645" s="9" t="s">
        <v>13</v>
      </c>
      <c r="B645" s="9" t="s">
        <v>56</v>
      </c>
      <c r="C645" s="9" t="s">
        <v>98</v>
      </c>
      <c r="D645" s="9">
        <v>6</v>
      </c>
      <c r="E645" s="11" t="s">
        <v>107</v>
      </c>
      <c r="F645" s="11" t="str">
        <f t="shared" si="10"/>
        <v>No</v>
      </c>
    </row>
    <row r="646" spans="1:6" x14ac:dyDescent="0.3">
      <c r="A646" s="9" t="s">
        <v>13</v>
      </c>
      <c r="B646" s="9" t="s">
        <v>74</v>
      </c>
      <c r="C646" s="9" t="s">
        <v>74</v>
      </c>
      <c r="D646" s="9">
        <v>65</v>
      </c>
      <c r="E646" s="11" t="s">
        <v>105</v>
      </c>
      <c r="F646" s="11" t="str">
        <f t="shared" si="10"/>
        <v>Yes</v>
      </c>
    </row>
    <row r="647" spans="1:6" x14ac:dyDescent="0.3">
      <c r="A647" s="9" t="s">
        <v>13</v>
      </c>
      <c r="B647" s="9" t="s">
        <v>57</v>
      </c>
      <c r="C647" s="9" t="s">
        <v>100</v>
      </c>
      <c r="D647" s="9">
        <v>21</v>
      </c>
      <c r="E647" s="11" t="s">
        <v>106</v>
      </c>
      <c r="F647" s="11" t="str">
        <f t="shared" si="10"/>
        <v>Yes</v>
      </c>
    </row>
    <row r="648" spans="1:6" x14ac:dyDescent="0.3">
      <c r="A648" s="9" t="s">
        <v>13</v>
      </c>
      <c r="B648" s="9" t="s">
        <v>76</v>
      </c>
      <c r="C648" s="9" t="s">
        <v>100</v>
      </c>
      <c r="D648" s="9">
        <v>5</v>
      </c>
      <c r="E648" s="11" t="s">
        <v>107</v>
      </c>
      <c r="F648" s="11" t="str">
        <f t="shared" si="10"/>
        <v>No</v>
      </c>
    </row>
    <row r="649" spans="1:6" x14ac:dyDescent="0.3">
      <c r="A649" s="9" t="s">
        <v>13</v>
      </c>
      <c r="B649" s="9" t="s">
        <v>58</v>
      </c>
      <c r="C649" s="9" t="s">
        <v>100</v>
      </c>
      <c r="D649" s="9">
        <v>2</v>
      </c>
      <c r="E649" s="11" t="s">
        <v>107</v>
      </c>
      <c r="F649" s="11" t="str">
        <f t="shared" si="10"/>
        <v>No</v>
      </c>
    </row>
    <row r="650" spans="1:6" x14ac:dyDescent="0.3">
      <c r="A650" s="9" t="s">
        <v>13</v>
      </c>
      <c r="B650" s="9" t="s">
        <v>59</v>
      </c>
      <c r="C650" s="9" t="s">
        <v>100</v>
      </c>
      <c r="D650" s="9">
        <v>9</v>
      </c>
      <c r="E650" s="11" t="s">
        <v>107</v>
      </c>
      <c r="F650" s="11" t="str">
        <f t="shared" si="10"/>
        <v>No</v>
      </c>
    </row>
    <row r="651" spans="1:6" x14ac:dyDescent="0.3">
      <c r="A651" s="9" t="s">
        <v>13</v>
      </c>
      <c r="B651" s="9" t="s">
        <v>60</v>
      </c>
      <c r="C651" s="9" t="s">
        <v>100</v>
      </c>
      <c r="D651" s="9">
        <v>2</v>
      </c>
      <c r="E651" s="11" t="s">
        <v>107</v>
      </c>
      <c r="F651" s="11" t="str">
        <f t="shared" si="10"/>
        <v>No</v>
      </c>
    </row>
    <row r="652" spans="1:6" x14ac:dyDescent="0.3">
      <c r="A652" s="9" t="s">
        <v>13</v>
      </c>
      <c r="B652" s="9" t="s">
        <v>61</v>
      </c>
      <c r="C652" s="9" t="s">
        <v>100</v>
      </c>
      <c r="D652" s="9">
        <v>3</v>
      </c>
      <c r="E652" s="11" t="s">
        <v>107</v>
      </c>
      <c r="F652" s="11" t="str">
        <f t="shared" si="10"/>
        <v>No</v>
      </c>
    </row>
    <row r="653" spans="1:6" x14ac:dyDescent="0.3">
      <c r="A653" s="9" t="s">
        <v>13</v>
      </c>
      <c r="B653" s="9" t="s">
        <v>78</v>
      </c>
      <c r="C653" s="9" t="s">
        <v>95</v>
      </c>
      <c r="D653" s="9">
        <v>20</v>
      </c>
      <c r="E653" s="11" t="s">
        <v>105</v>
      </c>
      <c r="F653" s="11" t="str">
        <f t="shared" si="10"/>
        <v>Yes</v>
      </c>
    </row>
    <row r="654" spans="1:6" x14ac:dyDescent="0.3">
      <c r="A654" s="9" t="s">
        <v>13</v>
      </c>
      <c r="B654" s="9" t="s">
        <v>62</v>
      </c>
      <c r="C654" s="9" t="s">
        <v>101</v>
      </c>
      <c r="D654" s="9">
        <v>52</v>
      </c>
      <c r="E654" s="11" t="s">
        <v>106</v>
      </c>
      <c r="F654" s="11" t="str">
        <f t="shared" si="10"/>
        <v>Yes</v>
      </c>
    </row>
    <row r="655" spans="1:6" x14ac:dyDescent="0.3">
      <c r="A655" s="9" t="s">
        <v>13</v>
      </c>
      <c r="B655" s="9" t="s">
        <v>63</v>
      </c>
      <c r="C655" s="9" t="s">
        <v>101</v>
      </c>
      <c r="D655" s="9">
        <v>38</v>
      </c>
      <c r="E655" s="11" t="s">
        <v>107</v>
      </c>
      <c r="F655" s="11" t="str">
        <f t="shared" si="10"/>
        <v>No</v>
      </c>
    </row>
    <row r="656" spans="1:6" x14ac:dyDescent="0.3">
      <c r="A656" s="9" t="s">
        <v>13</v>
      </c>
      <c r="B656" s="9" t="s">
        <v>64</v>
      </c>
      <c r="C656" s="9" t="s">
        <v>101</v>
      </c>
      <c r="D656" s="9">
        <v>14</v>
      </c>
      <c r="E656" s="11" t="s">
        <v>107</v>
      </c>
      <c r="F656" s="11" t="str">
        <f t="shared" si="10"/>
        <v>No</v>
      </c>
    </row>
    <row r="657" spans="1:6" x14ac:dyDescent="0.3">
      <c r="A657" s="9" t="s">
        <v>13</v>
      </c>
      <c r="B657" s="9" t="s">
        <v>77</v>
      </c>
      <c r="C657" s="9" t="s">
        <v>102</v>
      </c>
      <c r="D657" s="9">
        <v>6429</v>
      </c>
      <c r="E657" s="11" t="s">
        <v>106</v>
      </c>
      <c r="F657" s="11" t="str">
        <f t="shared" si="10"/>
        <v>Yes</v>
      </c>
    </row>
    <row r="658" spans="1:6" x14ac:dyDescent="0.3">
      <c r="A658" s="9" t="s">
        <v>13</v>
      </c>
      <c r="B658" s="9" t="s">
        <v>65</v>
      </c>
      <c r="C658" s="9" t="s">
        <v>102</v>
      </c>
      <c r="D658" s="9">
        <v>3849</v>
      </c>
      <c r="E658" s="11" t="s">
        <v>107</v>
      </c>
      <c r="F658" s="11" t="str">
        <f t="shared" si="10"/>
        <v>No</v>
      </c>
    </row>
    <row r="659" spans="1:6" x14ac:dyDescent="0.3">
      <c r="A659" s="9" t="s">
        <v>13</v>
      </c>
      <c r="B659" s="9" t="s">
        <v>66</v>
      </c>
      <c r="C659" s="9" t="s">
        <v>102</v>
      </c>
      <c r="D659" s="9">
        <v>2501</v>
      </c>
      <c r="E659" s="11" t="s">
        <v>107</v>
      </c>
      <c r="F659" s="11" t="str">
        <f t="shared" si="10"/>
        <v>No</v>
      </c>
    </row>
    <row r="660" spans="1:6" x14ac:dyDescent="0.3">
      <c r="A660" s="9" t="s">
        <v>13</v>
      </c>
      <c r="B660" s="9" t="s">
        <v>67</v>
      </c>
      <c r="C660" s="9" t="s">
        <v>102</v>
      </c>
      <c r="D660" s="9">
        <v>54</v>
      </c>
      <c r="E660" s="11" t="s">
        <v>107</v>
      </c>
      <c r="F660" s="11" t="str">
        <f t="shared" si="10"/>
        <v>No</v>
      </c>
    </row>
    <row r="661" spans="1:6" x14ac:dyDescent="0.3">
      <c r="A661" s="9" t="s">
        <v>13</v>
      </c>
      <c r="B661" s="9" t="s">
        <v>68</v>
      </c>
      <c r="C661" s="9" t="s">
        <v>102</v>
      </c>
      <c r="D661" s="9">
        <v>8</v>
      </c>
      <c r="E661" s="11" t="s">
        <v>107</v>
      </c>
      <c r="F661" s="11" t="str">
        <f t="shared" si="10"/>
        <v>No</v>
      </c>
    </row>
    <row r="662" spans="1:6" x14ac:dyDescent="0.3">
      <c r="A662" s="9" t="s">
        <v>13</v>
      </c>
      <c r="B662" s="9" t="s">
        <v>69</v>
      </c>
      <c r="C662" s="9" t="s">
        <v>102</v>
      </c>
      <c r="D662" s="9">
        <v>13</v>
      </c>
      <c r="E662" s="11" t="s">
        <v>107</v>
      </c>
      <c r="F662" s="11" t="str">
        <f t="shared" si="10"/>
        <v>No</v>
      </c>
    </row>
    <row r="663" spans="1:6" x14ac:dyDescent="0.3">
      <c r="A663" s="9" t="s">
        <v>13</v>
      </c>
      <c r="B663" s="9" t="s">
        <v>70</v>
      </c>
      <c r="C663" s="9" t="s">
        <v>102</v>
      </c>
      <c r="D663" s="9">
        <v>4</v>
      </c>
      <c r="E663" s="11" t="s">
        <v>107</v>
      </c>
      <c r="F663" s="11" t="str">
        <f t="shared" si="10"/>
        <v>No</v>
      </c>
    </row>
    <row r="664" spans="1:6" x14ac:dyDescent="0.3">
      <c r="A664" s="9" t="s">
        <v>13</v>
      </c>
      <c r="B664" s="9" t="s">
        <v>75</v>
      </c>
      <c r="C664" s="9" t="s">
        <v>103</v>
      </c>
      <c r="D664" s="9">
        <v>4</v>
      </c>
      <c r="E664" s="11" t="s">
        <v>105</v>
      </c>
      <c r="F664" s="11" t="str">
        <f t="shared" si="10"/>
        <v>Yes</v>
      </c>
    </row>
    <row r="665" spans="1:6" x14ac:dyDescent="0.3">
      <c r="A665" s="9" t="s">
        <v>14</v>
      </c>
      <c r="B665" s="9" t="s">
        <v>88</v>
      </c>
      <c r="C665" s="9" t="s">
        <v>92</v>
      </c>
      <c r="D665" s="9">
        <v>29</v>
      </c>
      <c r="E665" s="11" t="s">
        <v>105</v>
      </c>
      <c r="F665" s="11" t="str">
        <f t="shared" si="10"/>
        <v>Yes</v>
      </c>
    </row>
    <row r="666" spans="1:6" x14ac:dyDescent="0.3">
      <c r="A666" s="9" t="s">
        <v>14</v>
      </c>
      <c r="B666" s="9" t="s">
        <v>38</v>
      </c>
      <c r="C666" s="9" t="s">
        <v>93</v>
      </c>
      <c r="D666" s="9">
        <v>170</v>
      </c>
      <c r="E666" s="11" t="s">
        <v>105</v>
      </c>
      <c r="F666" s="11" t="str">
        <f t="shared" si="10"/>
        <v>Yes</v>
      </c>
    </row>
    <row r="667" spans="1:6" x14ac:dyDescent="0.3">
      <c r="A667" s="9" t="s">
        <v>14</v>
      </c>
      <c r="B667" s="9" t="s">
        <v>87</v>
      </c>
      <c r="C667" s="9" t="s">
        <v>94</v>
      </c>
      <c r="D667" s="9">
        <v>742</v>
      </c>
      <c r="E667" s="11" t="s">
        <v>105</v>
      </c>
      <c r="F667" s="11" t="str">
        <f t="shared" si="10"/>
        <v>Yes</v>
      </c>
    </row>
    <row r="668" spans="1:6" x14ac:dyDescent="0.3">
      <c r="A668" s="9" t="s">
        <v>14</v>
      </c>
      <c r="B668" s="9" t="s">
        <v>86</v>
      </c>
      <c r="C668" s="9" t="s">
        <v>86</v>
      </c>
      <c r="D668" s="9">
        <v>42</v>
      </c>
      <c r="E668" s="11" t="s">
        <v>105</v>
      </c>
      <c r="F668" s="11" t="str">
        <f t="shared" si="10"/>
        <v>Yes</v>
      </c>
    </row>
    <row r="669" spans="1:6" x14ac:dyDescent="0.3">
      <c r="A669" s="9" t="s">
        <v>14</v>
      </c>
      <c r="B669" s="9" t="s">
        <v>85</v>
      </c>
      <c r="C669" s="9" t="s">
        <v>85</v>
      </c>
      <c r="D669" s="9">
        <v>3</v>
      </c>
      <c r="E669" s="11" t="s">
        <v>105</v>
      </c>
      <c r="F669" s="11" t="str">
        <f t="shared" si="10"/>
        <v>Yes</v>
      </c>
    </row>
    <row r="670" spans="1:6" x14ac:dyDescent="0.3">
      <c r="A670" s="9" t="s">
        <v>14</v>
      </c>
      <c r="B670" s="9" t="s">
        <v>84</v>
      </c>
      <c r="C670" s="9" t="s">
        <v>85</v>
      </c>
      <c r="D670" s="9">
        <v>5</v>
      </c>
      <c r="E670" s="11" t="s">
        <v>105</v>
      </c>
      <c r="F670" s="11" t="str">
        <f t="shared" si="10"/>
        <v>Yes</v>
      </c>
    </row>
    <row r="671" spans="1:6" x14ac:dyDescent="0.3">
      <c r="A671" s="9" t="s">
        <v>14</v>
      </c>
      <c r="B671" s="9" t="s">
        <v>83</v>
      </c>
      <c r="C671" s="9" t="s">
        <v>95</v>
      </c>
      <c r="D671" s="9">
        <v>11226</v>
      </c>
      <c r="E671" s="11" t="s">
        <v>105</v>
      </c>
      <c r="F671" s="11" t="str">
        <f t="shared" si="10"/>
        <v>Yes</v>
      </c>
    </row>
    <row r="672" spans="1:6" x14ac:dyDescent="0.3">
      <c r="A672" s="9" t="s">
        <v>14</v>
      </c>
      <c r="B672" s="9" t="s">
        <v>39</v>
      </c>
      <c r="C672" s="9" t="s">
        <v>40</v>
      </c>
      <c r="D672" s="9">
        <v>9361</v>
      </c>
      <c r="E672" s="11" t="s">
        <v>106</v>
      </c>
      <c r="F672" s="11" t="str">
        <f t="shared" si="10"/>
        <v>Yes</v>
      </c>
    </row>
    <row r="673" spans="1:6" x14ac:dyDescent="0.3">
      <c r="A673" s="9" t="s">
        <v>14</v>
      </c>
      <c r="B673" s="9" t="s">
        <v>40</v>
      </c>
      <c r="C673" s="9" t="s">
        <v>40</v>
      </c>
      <c r="D673" s="9">
        <v>9147</v>
      </c>
      <c r="E673" s="11" t="s">
        <v>107</v>
      </c>
      <c r="F673" s="11" t="str">
        <f t="shared" si="10"/>
        <v>No</v>
      </c>
    </row>
    <row r="674" spans="1:6" x14ac:dyDescent="0.3">
      <c r="A674" s="9" t="s">
        <v>14</v>
      </c>
      <c r="B674" s="9" t="s">
        <v>41</v>
      </c>
      <c r="C674" s="9" t="s">
        <v>40</v>
      </c>
      <c r="D674" s="9">
        <v>2</v>
      </c>
      <c r="E674" s="11" t="s">
        <v>107</v>
      </c>
      <c r="F674" s="11" t="str">
        <f t="shared" si="10"/>
        <v>No</v>
      </c>
    </row>
    <row r="675" spans="1:6" x14ac:dyDescent="0.3">
      <c r="A675" s="9" t="s">
        <v>14</v>
      </c>
      <c r="B675" s="9" t="s">
        <v>42</v>
      </c>
      <c r="C675" s="9" t="s">
        <v>40</v>
      </c>
      <c r="D675" s="9">
        <v>8</v>
      </c>
      <c r="E675" s="11" t="s">
        <v>107</v>
      </c>
      <c r="F675" s="11" t="str">
        <f t="shared" si="10"/>
        <v>No</v>
      </c>
    </row>
    <row r="676" spans="1:6" x14ac:dyDescent="0.3">
      <c r="A676" s="9" t="s">
        <v>14</v>
      </c>
      <c r="B676" s="9" t="s">
        <v>43</v>
      </c>
      <c r="C676" s="9" t="s">
        <v>40</v>
      </c>
      <c r="D676" s="9">
        <v>138</v>
      </c>
      <c r="E676" s="11" t="s">
        <v>106</v>
      </c>
      <c r="F676" s="11" t="str">
        <f t="shared" si="10"/>
        <v>No</v>
      </c>
    </row>
    <row r="677" spans="1:6" x14ac:dyDescent="0.3">
      <c r="A677" s="9" t="s">
        <v>14</v>
      </c>
      <c r="B677" s="9" t="s">
        <v>44</v>
      </c>
      <c r="C677" s="9" t="s">
        <v>40</v>
      </c>
      <c r="D677" s="9">
        <v>47</v>
      </c>
      <c r="E677" s="11" t="s">
        <v>107</v>
      </c>
      <c r="F677" s="11" t="str">
        <f t="shared" si="10"/>
        <v>No</v>
      </c>
    </row>
    <row r="678" spans="1:6" x14ac:dyDescent="0.3">
      <c r="A678" s="9" t="s">
        <v>14</v>
      </c>
      <c r="B678" s="9" t="s">
        <v>45</v>
      </c>
      <c r="C678" s="9" t="s">
        <v>40</v>
      </c>
      <c r="D678" s="9">
        <v>91</v>
      </c>
      <c r="E678" s="11" t="s">
        <v>107</v>
      </c>
      <c r="F678" s="11" t="str">
        <f t="shared" si="10"/>
        <v>No</v>
      </c>
    </row>
    <row r="679" spans="1:6" x14ac:dyDescent="0.3">
      <c r="A679" s="9" t="s">
        <v>14</v>
      </c>
      <c r="B679" s="9" t="s">
        <v>71</v>
      </c>
      <c r="C679" s="9" t="s">
        <v>40</v>
      </c>
      <c r="D679" s="9">
        <v>30</v>
      </c>
      <c r="E679" s="11" t="s">
        <v>105</v>
      </c>
      <c r="F679" s="11" t="str">
        <f t="shared" si="10"/>
        <v>Yes</v>
      </c>
    </row>
    <row r="680" spans="1:6" x14ac:dyDescent="0.3">
      <c r="A680" s="9" t="s">
        <v>14</v>
      </c>
      <c r="B680" s="9" t="s">
        <v>72</v>
      </c>
      <c r="C680" s="9" t="s">
        <v>40</v>
      </c>
      <c r="D680" s="9">
        <v>1</v>
      </c>
      <c r="E680" s="11" t="s">
        <v>105</v>
      </c>
      <c r="F680" s="11" t="str">
        <f t="shared" si="10"/>
        <v>Yes</v>
      </c>
    </row>
    <row r="681" spans="1:6" x14ac:dyDescent="0.3">
      <c r="A681" s="9" t="s">
        <v>14</v>
      </c>
      <c r="B681" s="9" t="s">
        <v>82</v>
      </c>
      <c r="C681" s="9" t="s">
        <v>40</v>
      </c>
      <c r="D681" s="9">
        <v>35</v>
      </c>
      <c r="E681" s="11" t="s">
        <v>105</v>
      </c>
      <c r="F681" s="11" t="str">
        <f t="shared" si="10"/>
        <v>Yes</v>
      </c>
    </row>
    <row r="682" spans="1:6" x14ac:dyDescent="0.3">
      <c r="A682" s="9" t="s">
        <v>14</v>
      </c>
      <c r="B682" s="9" t="s">
        <v>81</v>
      </c>
      <c r="C682" s="9" t="s">
        <v>81</v>
      </c>
      <c r="D682" s="9">
        <v>314</v>
      </c>
      <c r="E682" s="11" t="s">
        <v>105</v>
      </c>
      <c r="F682" s="11" t="str">
        <f t="shared" si="10"/>
        <v>Yes</v>
      </c>
    </row>
    <row r="683" spans="1:6" x14ac:dyDescent="0.3">
      <c r="A683" s="9" t="s">
        <v>14</v>
      </c>
      <c r="B683" s="9" t="s">
        <v>73</v>
      </c>
      <c r="C683" s="9" t="s">
        <v>81</v>
      </c>
      <c r="D683" s="9">
        <v>1</v>
      </c>
      <c r="E683" s="11" t="s">
        <v>105</v>
      </c>
      <c r="F683" s="11" t="str">
        <f t="shared" si="10"/>
        <v>Yes</v>
      </c>
    </row>
    <row r="684" spans="1:6" x14ac:dyDescent="0.3">
      <c r="A684" s="9" t="s">
        <v>14</v>
      </c>
      <c r="B684" s="9" t="s">
        <v>80</v>
      </c>
      <c r="C684" s="9" t="s">
        <v>81</v>
      </c>
      <c r="D684" s="9">
        <v>0</v>
      </c>
      <c r="E684" s="11" t="s">
        <v>105</v>
      </c>
      <c r="F684" s="11" t="str">
        <f t="shared" si="10"/>
        <v>Yes</v>
      </c>
    </row>
    <row r="685" spans="1:6" x14ac:dyDescent="0.3">
      <c r="A685" s="9" t="s">
        <v>14</v>
      </c>
      <c r="B685" s="9" t="s">
        <v>79</v>
      </c>
      <c r="C685" s="9" t="s">
        <v>96</v>
      </c>
      <c r="D685" s="9">
        <v>2930</v>
      </c>
      <c r="E685" s="11" t="s">
        <v>106</v>
      </c>
      <c r="F685" s="11" t="str">
        <f t="shared" si="10"/>
        <v>Yes</v>
      </c>
    </row>
    <row r="686" spans="1:6" x14ac:dyDescent="0.3">
      <c r="A686" s="9" t="s">
        <v>14</v>
      </c>
      <c r="B686" s="9" t="s">
        <v>46</v>
      </c>
      <c r="C686" s="9" t="s">
        <v>96</v>
      </c>
      <c r="D686" s="9">
        <v>2930</v>
      </c>
      <c r="E686" s="11" t="s">
        <v>107</v>
      </c>
      <c r="F686" s="11" t="str">
        <f t="shared" si="10"/>
        <v>No</v>
      </c>
    </row>
    <row r="687" spans="1:6" x14ac:dyDescent="0.3">
      <c r="A687" s="9" t="s">
        <v>14</v>
      </c>
      <c r="B687" s="9" t="s">
        <v>47</v>
      </c>
      <c r="C687" s="9" t="s">
        <v>96</v>
      </c>
      <c r="D687" s="9">
        <v>0</v>
      </c>
      <c r="E687" s="11" t="s">
        <v>107</v>
      </c>
      <c r="F687" s="11" t="str">
        <f t="shared" si="10"/>
        <v>No</v>
      </c>
    </row>
    <row r="688" spans="1:6" x14ac:dyDescent="0.3">
      <c r="A688" s="9" t="s">
        <v>14</v>
      </c>
      <c r="B688" s="9" t="s">
        <v>48</v>
      </c>
      <c r="C688" s="9" t="s">
        <v>97</v>
      </c>
      <c r="D688" s="9">
        <v>0</v>
      </c>
      <c r="E688" s="11" t="s">
        <v>106</v>
      </c>
      <c r="F688" s="11" t="str">
        <f t="shared" si="10"/>
        <v>Yes</v>
      </c>
    </row>
    <row r="689" spans="1:6" x14ac:dyDescent="0.3">
      <c r="A689" s="9" t="s">
        <v>14</v>
      </c>
      <c r="B689" s="9" t="s">
        <v>49</v>
      </c>
      <c r="C689" s="9" t="s">
        <v>97</v>
      </c>
      <c r="D689" s="9">
        <v>0</v>
      </c>
      <c r="E689" s="11" t="s">
        <v>107</v>
      </c>
      <c r="F689" s="11" t="str">
        <f t="shared" si="10"/>
        <v>No</v>
      </c>
    </row>
    <row r="690" spans="1:6" x14ac:dyDescent="0.3">
      <c r="A690" s="9" t="s">
        <v>14</v>
      </c>
      <c r="B690" s="9" t="s">
        <v>50</v>
      </c>
      <c r="C690" s="9" t="s">
        <v>97</v>
      </c>
      <c r="D690" s="9">
        <v>0</v>
      </c>
      <c r="E690" s="11" t="s">
        <v>107</v>
      </c>
      <c r="F690" s="11" t="str">
        <f t="shared" si="10"/>
        <v>No</v>
      </c>
    </row>
    <row r="691" spans="1:6" x14ac:dyDescent="0.3">
      <c r="A691" s="9" t="s">
        <v>14</v>
      </c>
      <c r="B691" s="9" t="s">
        <v>51</v>
      </c>
      <c r="C691" s="9" t="s">
        <v>99</v>
      </c>
      <c r="D691" s="9">
        <v>12133</v>
      </c>
      <c r="E691" s="11" t="s">
        <v>106</v>
      </c>
      <c r="F691" s="11" t="str">
        <f t="shared" si="10"/>
        <v>Yes</v>
      </c>
    </row>
    <row r="692" spans="1:6" x14ac:dyDescent="0.3">
      <c r="A692" s="9" t="s">
        <v>14</v>
      </c>
      <c r="B692" s="9" t="s">
        <v>52</v>
      </c>
      <c r="C692" s="9" t="s">
        <v>99</v>
      </c>
      <c r="D692" s="9">
        <v>12133</v>
      </c>
      <c r="E692" s="11" t="s">
        <v>107</v>
      </c>
      <c r="F692" s="11" t="str">
        <f t="shared" si="10"/>
        <v>No</v>
      </c>
    </row>
    <row r="693" spans="1:6" x14ac:dyDescent="0.3">
      <c r="A693" s="9" t="s">
        <v>14</v>
      </c>
      <c r="B693" s="9" t="s">
        <v>53</v>
      </c>
      <c r="C693" s="9" t="s">
        <v>99</v>
      </c>
      <c r="D693" s="9">
        <v>0</v>
      </c>
      <c r="E693" s="11" t="s">
        <v>107</v>
      </c>
      <c r="F693" s="11" t="str">
        <f t="shared" si="10"/>
        <v>No</v>
      </c>
    </row>
    <row r="694" spans="1:6" x14ac:dyDescent="0.3">
      <c r="A694" s="9" t="s">
        <v>14</v>
      </c>
      <c r="B694" s="9" t="s">
        <v>54</v>
      </c>
      <c r="C694" s="9" t="s">
        <v>98</v>
      </c>
      <c r="D694" s="9">
        <v>1309</v>
      </c>
      <c r="E694" s="11" t="s">
        <v>106</v>
      </c>
      <c r="F694" s="11" t="str">
        <f t="shared" si="10"/>
        <v>Yes</v>
      </c>
    </row>
    <row r="695" spans="1:6" x14ac:dyDescent="0.3">
      <c r="A695" s="9" t="s">
        <v>14</v>
      </c>
      <c r="B695" s="9" t="s">
        <v>55</v>
      </c>
      <c r="C695" s="9" t="s">
        <v>98</v>
      </c>
      <c r="D695" s="9">
        <v>1309</v>
      </c>
      <c r="E695" s="11" t="s">
        <v>107</v>
      </c>
      <c r="F695" s="11" t="str">
        <f t="shared" si="10"/>
        <v>No</v>
      </c>
    </row>
    <row r="696" spans="1:6" x14ac:dyDescent="0.3">
      <c r="A696" s="9" t="s">
        <v>14</v>
      </c>
      <c r="B696" s="9" t="s">
        <v>56</v>
      </c>
      <c r="C696" s="9" t="s">
        <v>98</v>
      </c>
      <c r="D696" s="9">
        <v>0</v>
      </c>
      <c r="E696" s="11" t="s">
        <v>107</v>
      </c>
      <c r="F696" s="11" t="str">
        <f t="shared" si="10"/>
        <v>No</v>
      </c>
    </row>
    <row r="697" spans="1:6" x14ac:dyDescent="0.3">
      <c r="A697" s="9" t="s">
        <v>14</v>
      </c>
      <c r="B697" s="9" t="s">
        <v>74</v>
      </c>
      <c r="C697" s="9" t="s">
        <v>74</v>
      </c>
      <c r="D697" s="9">
        <v>17</v>
      </c>
      <c r="E697" s="11" t="s">
        <v>105</v>
      </c>
      <c r="F697" s="11" t="str">
        <f t="shared" si="10"/>
        <v>Yes</v>
      </c>
    </row>
    <row r="698" spans="1:6" x14ac:dyDescent="0.3">
      <c r="A698" s="9" t="s">
        <v>14</v>
      </c>
      <c r="B698" s="9" t="s">
        <v>57</v>
      </c>
      <c r="C698" s="9" t="s">
        <v>100</v>
      </c>
      <c r="D698" s="9">
        <v>211</v>
      </c>
      <c r="E698" s="11" t="s">
        <v>106</v>
      </c>
      <c r="F698" s="11" t="str">
        <f t="shared" si="10"/>
        <v>Yes</v>
      </c>
    </row>
    <row r="699" spans="1:6" x14ac:dyDescent="0.3">
      <c r="A699" s="9" t="s">
        <v>14</v>
      </c>
      <c r="B699" s="9" t="s">
        <v>76</v>
      </c>
      <c r="C699" s="9" t="s">
        <v>100</v>
      </c>
      <c r="D699" s="9">
        <v>39</v>
      </c>
      <c r="E699" s="11" t="s">
        <v>107</v>
      </c>
      <c r="F699" s="11" t="str">
        <f t="shared" si="10"/>
        <v>No</v>
      </c>
    </row>
    <row r="700" spans="1:6" x14ac:dyDescent="0.3">
      <c r="A700" s="9" t="s">
        <v>14</v>
      </c>
      <c r="B700" s="9" t="s">
        <v>58</v>
      </c>
      <c r="C700" s="9" t="s">
        <v>100</v>
      </c>
      <c r="D700" s="9">
        <v>23</v>
      </c>
      <c r="E700" s="11" t="s">
        <v>107</v>
      </c>
      <c r="F700" s="11" t="str">
        <f t="shared" si="10"/>
        <v>No</v>
      </c>
    </row>
    <row r="701" spans="1:6" x14ac:dyDescent="0.3">
      <c r="A701" s="9" t="s">
        <v>14</v>
      </c>
      <c r="B701" s="9" t="s">
        <v>59</v>
      </c>
      <c r="C701" s="9" t="s">
        <v>100</v>
      </c>
      <c r="D701" s="9">
        <v>26</v>
      </c>
      <c r="E701" s="11" t="s">
        <v>107</v>
      </c>
      <c r="F701" s="11" t="str">
        <f t="shared" si="10"/>
        <v>No</v>
      </c>
    </row>
    <row r="702" spans="1:6" x14ac:dyDescent="0.3">
      <c r="A702" s="9" t="s">
        <v>14</v>
      </c>
      <c r="B702" s="9" t="s">
        <v>60</v>
      </c>
      <c r="C702" s="9" t="s">
        <v>100</v>
      </c>
      <c r="D702" s="9">
        <v>73</v>
      </c>
      <c r="E702" s="11" t="s">
        <v>107</v>
      </c>
      <c r="F702" s="11" t="str">
        <f t="shared" si="10"/>
        <v>No</v>
      </c>
    </row>
    <row r="703" spans="1:6" x14ac:dyDescent="0.3">
      <c r="A703" s="9" t="s">
        <v>14</v>
      </c>
      <c r="B703" s="9" t="s">
        <v>61</v>
      </c>
      <c r="C703" s="9" t="s">
        <v>100</v>
      </c>
      <c r="D703" s="9">
        <v>50</v>
      </c>
      <c r="E703" s="11" t="s">
        <v>107</v>
      </c>
      <c r="F703" s="11" t="str">
        <f t="shared" si="10"/>
        <v>No</v>
      </c>
    </row>
    <row r="704" spans="1:6" x14ac:dyDescent="0.3">
      <c r="A704" s="9" t="s">
        <v>14</v>
      </c>
      <c r="B704" s="9" t="s">
        <v>78</v>
      </c>
      <c r="C704" s="9" t="s">
        <v>95</v>
      </c>
      <c r="D704" s="9">
        <v>8</v>
      </c>
      <c r="E704" s="11" t="s">
        <v>105</v>
      </c>
      <c r="F704" s="11" t="str">
        <f t="shared" si="10"/>
        <v>Yes</v>
      </c>
    </row>
    <row r="705" spans="1:6" x14ac:dyDescent="0.3">
      <c r="A705" s="9" t="s">
        <v>14</v>
      </c>
      <c r="B705" s="9" t="s">
        <v>62</v>
      </c>
      <c r="C705" s="9" t="s">
        <v>101</v>
      </c>
      <c r="D705" s="9">
        <v>81</v>
      </c>
      <c r="E705" s="11" t="s">
        <v>106</v>
      </c>
      <c r="F705" s="11" t="str">
        <f t="shared" si="10"/>
        <v>Yes</v>
      </c>
    </row>
    <row r="706" spans="1:6" x14ac:dyDescent="0.3">
      <c r="A706" s="9" t="s">
        <v>14</v>
      </c>
      <c r="B706" s="9" t="s">
        <v>63</v>
      </c>
      <c r="C706" s="9" t="s">
        <v>101</v>
      </c>
      <c r="D706" s="9">
        <v>40</v>
      </c>
      <c r="E706" s="11" t="s">
        <v>107</v>
      </c>
      <c r="F706" s="11" t="str">
        <f t="shared" ref="F706:F769" si="11">IF(E706="Standalone","Yes",IF(AND(E706="Total",OR(B706="Kidnapping &amp; Abduction (Total)",B706="Rape (Total)",B706="Attempt to Rape (Total)",B706="Assault to Outrage Modesty (Total)",B706="Insult to Modesty (Total)",B706="Immoral Traffic (Prevention) Act (Total)",B706="Women-Centric Cyber Crime (Total)",B706="POCSO (Protection of Children from Sexual Offences Act) (Total)")),"Yes","No"))</f>
        <v>No</v>
      </c>
    </row>
    <row r="707" spans="1:6" x14ac:dyDescent="0.3">
      <c r="A707" s="9" t="s">
        <v>14</v>
      </c>
      <c r="B707" s="9" t="s">
        <v>64</v>
      </c>
      <c r="C707" s="9" t="s">
        <v>101</v>
      </c>
      <c r="D707" s="9">
        <v>41</v>
      </c>
      <c r="E707" s="11" t="s">
        <v>107</v>
      </c>
      <c r="F707" s="11" t="str">
        <f t="shared" si="11"/>
        <v>No</v>
      </c>
    </row>
    <row r="708" spans="1:6" x14ac:dyDescent="0.3">
      <c r="A708" s="9" t="s">
        <v>14</v>
      </c>
      <c r="B708" s="9" t="s">
        <v>77</v>
      </c>
      <c r="C708" s="9" t="s">
        <v>102</v>
      </c>
      <c r="D708" s="9">
        <v>8519</v>
      </c>
      <c r="E708" s="11" t="s">
        <v>106</v>
      </c>
      <c r="F708" s="11" t="str">
        <f t="shared" si="11"/>
        <v>Yes</v>
      </c>
    </row>
    <row r="709" spans="1:6" x14ac:dyDescent="0.3">
      <c r="A709" s="9" t="s">
        <v>14</v>
      </c>
      <c r="B709" s="9" t="s">
        <v>65</v>
      </c>
      <c r="C709" s="9" t="s">
        <v>102</v>
      </c>
      <c r="D709" s="9">
        <v>4594</v>
      </c>
      <c r="E709" s="11" t="s">
        <v>107</v>
      </c>
      <c r="F709" s="11" t="str">
        <f t="shared" si="11"/>
        <v>No</v>
      </c>
    </row>
    <row r="710" spans="1:6" x14ac:dyDescent="0.3">
      <c r="A710" s="9" t="s">
        <v>14</v>
      </c>
      <c r="B710" s="9" t="s">
        <v>66</v>
      </c>
      <c r="C710" s="9" t="s">
        <v>102</v>
      </c>
      <c r="D710" s="9">
        <v>3810</v>
      </c>
      <c r="E710" s="11" t="s">
        <v>107</v>
      </c>
      <c r="F710" s="11" t="str">
        <f t="shared" si="11"/>
        <v>No</v>
      </c>
    </row>
    <row r="711" spans="1:6" x14ac:dyDescent="0.3">
      <c r="A711" s="9" t="s">
        <v>14</v>
      </c>
      <c r="B711" s="9" t="s">
        <v>67</v>
      </c>
      <c r="C711" s="9" t="s">
        <v>102</v>
      </c>
      <c r="D711" s="9">
        <v>76</v>
      </c>
      <c r="E711" s="11" t="s">
        <v>107</v>
      </c>
      <c r="F711" s="11" t="str">
        <f t="shared" si="11"/>
        <v>No</v>
      </c>
    </row>
    <row r="712" spans="1:6" x14ac:dyDescent="0.3">
      <c r="A712" s="9" t="s">
        <v>14</v>
      </c>
      <c r="B712" s="9" t="s">
        <v>68</v>
      </c>
      <c r="C712" s="9" t="s">
        <v>102</v>
      </c>
      <c r="D712" s="9">
        <v>9</v>
      </c>
      <c r="E712" s="11" t="s">
        <v>107</v>
      </c>
      <c r="F712" s="11" t="str">
        <f t="shared" si="11"/>
        <v>No</v>
      </c>
    </row>
    <row r="713" spans="1:6" x14ac:dyDescent="0.3">
      <c r="A713" s="9" t="s">
        <v>14</v>
      </c>
      <c r="B713" s="9" t="s">
        <v>69</v>
      </c>
      <c r="C713" s="9" t="s">
        <v>102</v>
      </c>
      <c r="D713" s="9">
        <v>16</v>
      </c>
      <c r="E713" s="11" t="s">
        <v>107</v>
      </c>
      <c r="F713" s="11" t="str">
        <f t="shared" si="11"/>
        <v>No</v>
      </c>
    </row>
    <row r="714" spans="1:6" x14ac:dyDescent="0.3">
      <c r="A714" s="9" t="s">
        <v>14</v>
      </c>
      <c r="B714" s="9" t="s">
        <v>70</v>
      </c>
      <c r="C714" s="9" t="s">
        <v>102</v>
      </c>
      <c r="D714" s="9">
        <v>14</v>
      </c>
      <c r="E714" s="11" t="s">
        <v>107</v>
      </c>
      <c r="F714" s="11" t="str">
        <f t="shared" si="11"/>
        <v>No</v>
      </c>
    </row>
    <row r="715" spans="1:6" x14ac:dyDescent="0.3">
      <c r="A715" s="9" t="s">
        <v>14</v>
      </c>
      <c r="B715" s="9" t="s">
        <v>75</v>
      </c>
      <c r="C715" s="9" t="s">
        <v>103</v>
      </c>
      <c r="D715" s="9">
        <v>0</v>
      </c>
      <c r="E715" s="11" t="s">
        <v>105</v>
      </c>
      <c r="F715" s="11" t="str">
        <f t="shared" si="11"/>
        <v>Yes</v>
      </c>
    </row>
    <row r="716" spans="1:6" x14ac:dyDescent="0.3">
      <c r="A716" s="9" t="s">
        <v>15</v>
      </c>
      <c r="B716" s="9" t="s">
        <v>88</v>
      </c>
      <c r="C716" s="9" t="s">
        <v>92</v>
      </c>
      <c r="D716" s="9">
        <v>1</v>
      </c>
      <c r="E716" s="11" t="s">
        <v>105</v>
      </c>
      <c r="F716" s="11" t="str">
        <f t="shared" si="11"/>
        <v>Yes</v>
      </c>
    </row>
    <row r="717" spans="1:6" x14ac:dyDescent="0.3">
      <c r="A717" s="9" t="s">
        <v>15</v>
      </c>
      <c r="B717" s="9" t="s">
        <v>38</v>
      </c>
      <c r="C717" s="9" t="s">
        <v>93</v>
      </c>
      <c r="D717" s="9">
        <v>1</v>
      </c>
      <c r="E717" s="11" t="s">
        <v>105</v>
      </c>
      <c r="F717" s="11" t="str">
        <f t="shared" si="11"/>
        <v>Yes</v>
      </c>
    </row>
    <row r="718" spans="1:6" x14ac:dyDescent="0.3">
      <c r="A718" s="9" t="s">
        <v>15</v>
      </c>
      <c r="B718" s="9" t="s">
        <v>87</v>
      </c>
      <c r="C718" s="9" t="s">
        <v>94</v>
      </c>
      <c r="D718" s="9">
        <v>4</v>
      </c>
      <c r="E718" s="11" t="s">
        <v>105</v>
      </c>
      <c r="F718" s="11" t="str">
        <f t="shared" si="11"/>
        <v>Yes</v>
      </c>
    </row>
    <row r="719" spans="1:6" x14ac:dyDescent="0.3">
      <c r="A719" s="9" t="s">
        <v>15</v>
      </c>
      <c r="B719" s="9" t="s">
        <v>86</v>
      </c>
      <c r="C719" s="9" t="s">
        <v>86</v>
      </c>
      <c r="D719" s="9">
        <v>0</v>
      </c>
      <c r="E719" s="11" t="s">
        <v>105</v>
      </c>
      <c r="F719" s="11" t="str">
        <f t="shared" si="11"/>
        <v>Yes</v>
      </c>
    </row>
    <row r="720" spans="1:6" x14ac:dyDescent="0.3">
      <c r="A720" s="9" t="s">
        <v>15</v>
      </c>
      <c r="B720" s="9" t="s">
        <v>85</v>
      </c>
      <c r="C720" s="9" t="s">
        <v>85</v>
      </c>
      <c r="D720" s="9">
        <v>0</v>
      </c>
      <c r="E720" s="11" t="s">
        <v>105</v>
      </c>
      <c r="F720" s="11" t="str">
        <f t="shared" si="11"/>
        <v>Yes</v>
      </c>
    </row>
    <row r="721" spans="1:6" x14ac:dyDescent="0.3">
      <c r="A721" s="9" t="s">
        <v>15</v>
      </c>
      <c r="B721" s="9" t="s">
        <v>84</v>
      </c>
      <c r="C721" s="9" t="s">
        <v>85</v>
      </c>
      <c r="D721" s="9">
        <v>0</v>
      </c>
      <c r="E721" s="11" t="s">
        <v>105</v>
      </c>
      <c r="F721" s="11" t="str">
        <f t="shared" si="11"/>
        <v>Yes</v>
      </c>
    </row>
    <row r="722" spans="1:6" x14ac:dyDescent="0.3">
      <c r="A722" s="9" t="s">
        <v>15</v>
      </c>
      <c r="B722" s="9" t="s">
        <v>83</v>
      </c>
      <c r="C722" s="9" t="s">
        <v>95</v>
      </c>
      <c r="D722" s="9">
        <v>7</v>
      </c>
      <c r="E722" s="11" t="s">
        <v>105</v>
      </c>
      <c r="F722" s="11" t="str">
        <f t="shared" si="11"/>
        <v>Yes</v>
      </c>
    </row>
    <row r="723" spans="1:6" x14ac:dyDescent="0.3">
      <c r="A723" s="9" t="s">
        <v>15</v>
      </c>
      <c r="B723" s="9" t="s">
        <v>39</v>
      </c>
      <c r="C723" s="9" t="s">
        <v>40</v>
      </c>
      <c r="D723" s="9">
        <v>32</v>
      </c>
      <c r="E723" s="11" t="s">
        <v>106</v>
      </c>
      <c r="F723" s="11" t="str">
        <f t="shared" si="11"/>
        <v>Yes</v>
      </c>
    </row>
    <row r="724" spans="1:6" x14ac:dyDescent="0.3">
      <c r="A724" s="9" t="s">
        <v>15</v>
      </c>
      <c r="B724" s="9" t="s">
        <v>40</v>
      </c>
      <c r="C724" s="9" t="s">
        <v>40</v>
      </c>
      <c r="D724" s="9">
        <v>2</v>
      </c>
      <c r="E724" s="11" t="s">
        <v>107</v>
      </c>
      <c r="F724" s="11" t="str">
        <f t="shared" si="11"/>
        <v>No</v>
      </c>
    </row>
    <row r="725" spans="1:6" x14ac:dyDescent="0.3">
      <c r="A725" s="9" t="s">
        <v>15</v>
      </c>
      <c r="B725" s="9" t="s">
        <v>41</v>
      </c>
      <c r="C725" s="9" t="s">
        <v>40</v>
      </c>
      <c r="D725" s="9">
        <v>0</v>
      </c>
      <c r="E725" s="11" t="s">
        <v>107</v>
      </c>
      <c r="F725" s="11" t="str">
        <f t="shared" si="11"/>
        <v>No</v>
      </c>
    </row>
    <row r="726" spans="1:6" x14ac:dyDescent="0.3">
      <c r="A726" s="9" t="s">
        <v>15</v>
      </c>
      <c r="B726" s="9" t="s">
        <v>42</v>
      </c>
      <c r="C726" s="9" t="s">
        <v>40</v>
      </c>
      <c r="D726" s="9">
        <v>1</v>
      </c>
      <c r="E726" s="11" t="s">
        <v>107</v>
      </c>
      <c r="F726" s="11" t="str">
        <f t="shared" si="11"/>
        <v>No</v>
      </c>
    </row>
    <row r="727" spans="1:6" x14ac:dyDescent="0.3">
      <c r="A727" s="9" t="s">
        <v>15</v>
      </c>
      <c r="B727" s="9" t="s">
        <v>43</v>
      </c>
      <c r="C727" s="9" t="s">
        <v>40</v>
      </c>
      <c r="D727" s="9">
        <v>12</v>
      </c>
      <c r="E727" s="11" t="s">
        <v>106</v>
      </c>
      <c r="F727" s="11" t="str">
        <f t="shared" si="11"/>
        <v>No</v>
      </c>
    </row>
    <row r="728" spans="1:6" x14ac:dyDescent="0.3">
      <c r="A728" s="9" t="s">
        <v>15</v>
      </c>
      <c r="B728" s="9" t="s">
        <v>44</v>
      </c>
      <c r="C728" s="9" t="s">
        <v>40</v>
      </c>
      <c r="D728" s="9">
        <v>7</v>
      </c>
      <c r="E728" s="11" t="s">
        <v>107</v>
      </c>
      <c r="F728" s="11" t="str">
        <f t="shared" si="11"/>
        <v>No</v>
      </c>
    </row>
    <row r="729" spans="1:6" x14ac:dyDescent="0.3">
      <c r="A729" s="9" t="s">
        <v>15</v>
      </c>
      <c r="B729" s="9" t="s">
        <v>45</v>
      </c>
      <c r="C729" s="9" t="s">
        <v>40</v>
      </c>
      <c r="D729" s="9">
        <v>5</v>
      </c>
      <c r="E729" s="11" t="s">
        <v>107</v>
      </c>
      <c r="F729" s="11" t="str">
        <f t="shared" si="11"/>
        <v>No</v>
      </c>
    </row>
    <row r="730" spans="1:6" x14ac:dyDescent="0.3">
      <c r="A730" s="9" t="s">
        <v>15</v>
      </c>
      <c r="B730" s="9" t="s">
        <v>71</v>
      </c>
      <c r="C730" s="9" t="s">
        <v>40</v>
      </c>
      <c r="D730" s="9">
        <v>9</v>
      </c>
      <c r="E730" s="11" t="s">
        <v>105</v>
      </c>
      <c r="F730" s="11" t="str">
        <f t="shared" si="11"/>
        <v>Yes</v>
      </c>
    </row>
    <row r="731" spans="1:6" x14ac:dyDescent="0.3">
      <c r="A731" s="9" t="s">
        <v>15</v>
      </c>
      <c r="B731" s="9" t="s">
        <v>72</v>
      </c>
      <c r="C731" s="9" t="s">
        <v>40</v>
      </c>
      <c r="D731" s="9">
        <v>0</v>
      </c>
      <c r="E731" s="11" t="s">
        <v>105</v>
      </c>
      <c r="F731" s="11" t="str">
        <f t="shared" si="11"/>
        <v>Yes</v>
      </c>
    </row>
    <row r="732" spans="1:6" x14ac:dyDescent="0.3">
      <c r="A732" s="9" t="s">
        <v>15</v>
      </c>
      <c r="B732" s="9" t="s">
        <v>82</v>
      </c>
      <c r="C732" s="9" t="s">
        <v>40</v>
      </c>
      <c r="D732" s="9">
        <v>8</v>
      </c>
      <c r="E732" s="11" t="s">
        <v>105</v>
      </c>
      <c r="F732" s="11" t="str">
        <f t="shared" si="11"/>
        <v>Yes</v>
      </c>
    </row>
    <row r="733" spans="1:6" x14ac:dyDescent="0.3">
      <c r="A733" s="9" t="s">
        <v>15</v>
      </c>
      <c r="B733" s="9" t="s">
        <v>81</v>
      </c>
      <c r="C733" s="9" t="s">
        <v>81</v>
      </c>
      <c r="D733" s="9">
        <v>0</v>
      </c>
      <c r="E733" s="11" t="s">
        <v>105</v>
      </c>
      <c r="F733" s="11" t="str">
        <f t="shared" si="11"/>
        <v>Yes</v>
      </c>
    </row>
    <row r="734" spans="1:6" x14ac:dyDescent="0.3">
      <c r="A734" s="9" t="s">
        <v>15</v>
      </c>
      <c r="B734" s="9" t="s">
        <v>73</v>
      </c>
      <c r="C734" s="9" t="s">
        <v>81</v>
      </c>
      <c r="D734" s="9">
        <v>0</v>
      </c>
      <c r="E734" s="11" t="s">
        <v>105</v>
      </c>
      <c r="F734" s="11" t="str">
        <f t="shared" si="11"/>
        <v>Yes</v>
      </c>
    </row>
    <row r="735" spans="1:6" x14ac:dyDescent="0.3">
      <c r="A735" s="9" t="s">
        <v>15</v>
      </c>
      <c r="B735" s="9" t="s">
        <v>80</v>
      </c>
      <c r="C735" s="9" t="s">
        <v>81</v>
      </c>
      <c r="D735" s="9">
        <v>0</v>
      </c>
      <c r="E735" s="11" t="s">
        <v>105</v>
      </c>
      <c r="F735" s="11" t="str">
        <f t="shared" si="11"/>
        <v>Yes</v>
      </c>
    </row>
    <row r="736" spans="1:6" x14ac:dyDescent="0.3">
      <c r="A736" s="9" t="s">
        <v>15</v>
      </c>
      <c r="B736" s="9" t="s">
        <v>79</v>
      </c>
      <c r="C736" s="9" t="s">
        <v>96</v>
      </c>
      <c r="D736" s="9">
        <v>27</v>
      </c>
      <c r="E736" s="11" t="s">
        <v>106</v>
      </c>
      <c r="F736" s="11" t="str">
        <f t="shared" si="11"/>
        <v>Yes</v>
      </c>
    </row>
    <row r="737" spans="1:6" x14ac:dyDescent="0.3">
      <c r="A737" s="9" t="s">
        <v>15</v>
      </c>
      <c r="B737" s="9" t="s">
        <v>46</v>
      </c>
      <c r="C737" s="9" t="s">
        <v>96</v>
      </c>
      <c r="D737" s="9">
        <v>27</v>
      </c>
      <c r="E737" s="11" t="s">
        <v>107</v>
      </c>
      <c r="F737" s="11" t="str">
        <f t="shared" si="11"/>
        <v>No</v>
      </c>
    </row>
    <row r="738" spans="1:6" x14ac:dyDescent="0.3">
      <c r="A738" s="9" t="s">
        <v>15</v>
      </c>
      <c r="B738" s="9" t="s">
        <v>47</v>
      </c>
      <c r="C738" s="9" t="s">
        <v>96</v>
      </c>
      <c r="D738" s="9">
        <v>0</v>
      </c>
      <c r="E738" s="11" t="s">
        <v>107</v>
      </c>
      <c r="F738" s="11" t="str">
        <f t="shared" si="11"/>
        <v>No</v>
      </c>
    </row>
    <row r="739" spans="1:6" x14ac:dyDescent="0.3">
      <c r="A739" s="9" t="s">
        <v>15</v>
      </c>
      <c r="B739" s="9" t="s">
        <v>48</v>
      </c>
      <c r="C739" s="9" t="s">
        <v>97</v>
      </c>
      <c r="D739" s="9">
        <v>0</v>
      </c>
      <c r="E739" s="11" t="s">
        <v>106</v>
      </c>
      <c r="F739" s="11" t="str">
        <f t="shared" si="11"/>
        <v>Yes</v>
      </c>
    </row>
    <row r="740" spans="1:6" x14ac:dyDescent="0.3">
      <c r="A740" s="9" t="s">
        <v>15</v>
      </c>
      <c r="B740" s="9" t="s">
        <v>49</v>
      </c>
      <c r="C740" s="9" t="s">
        <v>97</v>
      </c>
      <c r="D740" s="9">
        <v>0</v>
      </c>
      <c r="E740" s="11" t="s">
        <v>107</v>
      </c>
      <c r="F740" s="11" t="str">
        <f t="shared" si="11"/>
        <v>No</v>
      </c>
    </row>
    <row r="741" spans="1:6" x14ac:dyDescent="0.3">
      <c r="A741" s="9" t="s">
        <v>15</v>
      </c>
      <c r="B741" s="9" t="s">
        <v>50</v>
      </c>
      <c r="C741" s="9" t="s">
        <v>97</v>
      </c>
      <c r="D741" s="9">
        <v>0</v>
      </c>
      <c r="E741" s="11" t="s">
        <v>107</v>
      </c>
      <c r="F741" s="11" t="str">
        <f t="shared" si="11"/>
        <v>No</v>
      </c>
    </row>
    <row r="742" spans="1:6" x14ac:dyDescent="0.3">
      <c r="A742" s="9" t="s">
        <v>15</v>
      </c>
      <c r="B742" s="9" t="s">
        <v>51</v>
      </c>
      <c r="C742" s="9" t="s">
        <v>99</v>
      </c>
      <c r="D742" s="9">
        <v>66</v>
      </c>
      <c r="E742" s="11" t="s">
        <v>106</v>
      </c>
      <c r="F742" s="11" t="str">
        <f t="shared" si="11"/>
        <v>Yes</v>
      </c>
    </row>
    <row r="743" spans="1:6" x14ac:dyDescent="0.3">
      <c r="A743" s="9" t="s">
        <v>15</v>
      </c>
      <c r="B743" s="9" t="s">
        <v>52</v>
      </c>
      <c r="C743" s="9" t="s">
        <v>99</v>
      </c>
      <c r="D743" s="9">
        <v>65</v>
      </c>
      <c r="E743" s="11" t="s">
        <v>107</v>
      </c>
      <c r="F743" s="11" t="str">
        <f t="shared" si="11"/>
        <v>No</v>
      </c>
    </row>
    <row r="744" spans="1:6" x14ac:dyDescent="0.3">
      <c r="A744" s="9" t="s">
        <v>15</v>
      </c>
      <c r="B744" s="9" t="s">
        <v>53</v>
      </c>
      <c r="C744" s="9" t="s">
        <v>99</v>
      </c>
      <c r="D744" s="9">
        <v>1</v>
      </c>
      <c r="E744" s="11" t="s">
        <v>107</v>
      </c>
      <c r="F744" s="11" t="str">
        <f t="shared" si="11"/>
        <v>No</v>
      </c>
    </row>
    <row r="745" spans="1:6" x14ac:dyDescent="0.3">
      <c r="A745" s="9" t="s">
        <v>15</v>
      </c>
      <c r="B745" s="9" t="s">
        <v>54</v>
      </c>
      <c r="C745" s="9" t="s">
        <v>98</v>
      </c>
      <c r="D745" s="9">
        <v>8</v>
      </c>
      <c r="E745" s="11" t="s">
        <v>106</v>
      </c>
      <c r="F745" s="11" t="str">
        <f t="shared" si="11"/>
        <v>Yes</v>
      </c>
    </row>
    <row r="746" spans="1:6" x14ac:dyDescent="0.3">
      <c r="A746" s="9" t="s">
        <v>15</v>
      </c>
      <c r="B746" s="9" t="s">
        <v>55</v>
      </c>
      <c r="C746" s="9" t="s">
        <v>98</v>
      </c>
      <c r="D746" s="9">
        <v>8</v>
      </c>
      <c r="E746" s="11" t="s">
        <v>107</v>
      </c>
      <c r="F746" s="11" t="str">
        <f t="shared" si="11"/>
        <v>No</v>
      </c>
    </row>
    <row r="747" spans="1:6" x14ac:dyDescent="0.3">
      <c r="A747" s="9" t="s">
        <v>15</v>
      </c>
      <c r="B747" s="9" t="s">
        <v>56</v>
      </c>
      <c r="C747" s="9" t="s">
        <v>98</v>
      </c>
      <c r="D747" s="9">
        <v>0</v>
      </c>
      <c r="E747" s="11" t="s">
        <v>107</v>
      </c>
      <c r="F747" s="11" t="str">
        <f t="shared" si="11"/>
        <v>No</v>
      </c>
    </row>
    <row r="748" spans="1:6" x14ac:dyDescent="0.3">
      <c r="A748" s="9" t="s">
        <v>15</v>
      </c>
      <c r="B748" s="9" t="s">
        <v>74</v>
      </c>
      <c r="C748" s="9" t="s">
        <v>74</v>
      </c>
      <c r="D748" s="9">
        <v>0</v>
      </c>
      <c r="E748" s="11" t="s">
        <v>105</v>
      </c>
      <c r="F748" s="11" t="str">
        <f t="shared" si="11"/>
        <v>Yes</v>
      </c>
    </row>
    <row r="749" spans="1:6" x14ac:dyDescent="0.3">
      <c r="A749" s="9" t="s">
        <v>15</v>
      </c>
      <c r="B749" s="9" t="s">
        <v>57</v>
      </c>
      <c r="C749" s="9" t="s">
        <v>100</v>
      </c>
      <c r="D749" s="9">
        <v>0</v>
      </c>
      <c r="E749" s="11" t="s">
        <v>106</v>
      </c>
      <c r="F749" s="11" t="str">
        <f t="shared" si="11"/>
        <v>Yes</v>
      </c>
    </row>
    <row r="750" spans="1:6" x14ac:dyDescent="0.3">
      <c r="A750" s="9" t="s">
        <v>15</v>
      </c>
      <c r="B750" s="9" t="s">
        <v>76</v>
      </c>
      <c r="C750" s="9" t="s">
        <v>100</v>
      </c>
      <c r="D750" s="9">
        <v>0</v>
      </c>
      <c r="E750" s="11" t="s">
        <v>107</v>
      </c>
      <c r="F750" s="11" t="str">
        <f t="shared" si="11"/>
        <v>No</v>
      </c>
    </row>
    <row r="751" spans="1:6" x14ac:dyDescent="0.3">
      <c r="A751" s="9" t="s">
        <v>15</v>
      </c>
      <c r="B751" s="9" t="s">
        <v>58</v>
      </c>
      <c r="C751" s="9" t="s">
        <v>100</v>
      </c>
      <c r="D751" s="9">
        <v>0</v>
      </c>
      <c r="E751" s="11" t="s">
        <v>107</v>
      </c>
      <c r="F751" s="11" t="str">
        <f t="shared" si="11"/>
        <v>No</v>
      </c>
    </row>
    <row r="752" spans="1:6" x14ac:dyDescent="0.3">
      <c r="A752" s="9" t="s">
        <v>15</v>
      </c>
      <c r="B752" s="9" t="s">
        <v>59</v>
      </c>
      <c r="C752" s="9" t="s">
        <v>100</v>
      </c>
      <c r="D752" s="9">
        <v>0</v>
      </c>
      <c r="E752" s="11" t="s">
        <v>107</v>
      </c>
      <c r="F752" s="11" t="str">
        <f t="shared" si="11"/>
        <v>No</v>
      </c>
    </row>
    <row r="753" spans="1:6" x14ac:dyDescent="0.3">
      <c r="A753" s="9" t="s">
        <v>15</v>
      </c>
      <c r="B753" s="9" t="s">
        <v>60</v>
      </c>
      <c r="C753" s="9" t="s">
        <v>100</v>
      </c>
      <c r="D753" s="9">
        <v>0</v>
      </c>
      <c r="E753" s="11" t="s">
        <v>107</v>
      </c>
      <c r="F753" s="11" t="str">
        <f t="shared" si="11"/>
        <v>No</v>
      </c>
    </row>
    <row r="754" spans="1:6" x14ac:dyDescent="0.3">
      <c r="A754" s="9" t="s">
        <v>15</v>
      </c>
      <c r="B754" s="9" t="s">
        <v>61</v>
      </c>
      <c r="C754" s="9" t="s">
        <v>100</v>
      </c>
      <c r="D754" s="9">
        <v>0</v>
      </c>
      <c r="E754" s="11" t="s">
        <v>107</v>
      </c>
      <c r="F754" s="11" t="str">
        <f t="shared" si="11"/>
        <v>No</v>
      </c>
    </row>
    <row r="755" spans="1:6" x14ac:dyDescent="0.3">
      <c r="A755" s="9" t="s">
        <v>15</v>
      </c>
      <c r="B755" s="9" t="s">
        <v>78</v>
      </c>
      <c r="C755" s="9" t="s">
        <v>95</v>
      </c>
      <c r="D755" s="9">
        <v>0</v>
      </c>
      <c r="E755" s="11" t="s">
        <v>105</v>
      </c>
      <c r="F755" s="11" t="str">
        <f t="shared" si="11"/>
        <v>Yes</v>
      </c>
    </row>
    <row r="756" spans="1:6" x14ac:dyDescent="0.3">
      <c r="A756" s="9" t="s">
        <v>15</v>
      </c>
      <c r="B756" s="9" t="s">
        <v>62</v>
      </c>
      <c r="C756" s="9" t="s">
        <v>101</v>
      </c>
      <c r="D756" s="9">
        <v>0</v>
      </c>
      <c r="E756" s="11" t="s">
        <v>106</v>
      </c>
      <c r="F756" s="11" t="str">
        <f t="shared" si="11"/>
        <v>Yes</v>
      </c>
    </row>
    <row r="757" spans="1:6" x14ac:dyDescent="0.3">
      <c r="A757" s="9" t="s">
        <v>15</v>
      </c>
      <c r="B757" s="9" t="s">
        <v>63</v>
      </c>
      <c r="C757" s="9" t="s">
        <v>101</v>
      </c>
      <c r="D757" s="9">
        <v>0</v>
      </c>
      <c r="E757" s="11" t="s">
        <v>107</v>
      </c>
      <c r="F757" s="11" t="str">
        <f t="shared" si="11"/>
        <v>No</v>
      </c>
    </row>
    <row r="758" spans="1:6" x14ac:dyDescent="0.3">
      <c r="A758" s="9" t="s">
        <v>15</v>
      </c>
      <c r="B758" s="9" t="s">
        <v>64</v>
      </c>
      <c r="C758" s="9" t="s">
        <v>101</v>
      </c>
      <c r="D758" s="9">
        <v>0</v>
      </c>
      <c r="E758" s="11" t="s">
        <v>107</v>
      </c>
      <c r="F758" s="11" t="str">
        <f t="shared" si="11"/>
        <v>No</v>
      </c>
    </row>
    <row r="759" spans="1:6" x14ac:dyDescent="0.3">
      <c r="A759" s="9" t="s">
        <v>15</v>
      </c>
      <c r="B759" s="9" t="s">
        <v>77</v>
      </c>
      <c r="C759" s="9" t="s">
        <v>102</v>
      </c>
      <c r="D759" s="9">
        <v>55</v>
      </c>
      <c r="E759" s="11" t="s">
        <v>106</v>
      </c>
      <c r="F759" s="11" t="str">
        <f t="shared" si="11"/>
        <v>Yes</v>
      </c>
    </row>
    <row r="760" spans="1:6" x14ac:dyDescent="0.3">
      <c r="A760" s="9" t="s">
        <v>15</v>
      </c>
      <c r="B760" s="9" t="s">
        <v>65</v>
      </c>
      <c r="C760" s="9" t="s">
        <v>102</v>
      </c>
      <c r="D760" s="9">
        <v>43</v>
      </c>
      <c r="E760" s="11" t="s">
        <v>107</v>
      </c>
      <c r="F760" s="11" t="str">
        <f t="shared" si="11"/>
        <v>No</v>
      </c>
    </row>
    <row r="761" spans="1:6" x14ac:dyDescent="0.3">
      <c r="A761" s="9" t="s">
        <v>15</v>
      </c>
      <c r="B761" s="9" t="s">
        <v>66</v>
      </c>
      <c r="C761" s="9" t="s">
        <v>102</v>
      </c>
      <c r="D761" s="9">
        <v>9</v>
      </c>
      <c r="E761" s="11" t="s">
        <v>107</v>
      </c>
      <c r="F761" s="11" t="str">
        <f t="shared" si="11"/>
        <v>No</v>
      </c>
    </row>
    <row r="762" spans="1:6" x14ac:dyDescent="0.3">
      <c r="A762" s="9" t="s">
        <v>15</v>
      </c>
      <c r="B762" s="9" t="s">
        <v>67</v>
      </c>
      <c r="C762" s="9" t="s">
        <v>102</v>
      </c>
      <c r="D762" s="9">
        <v>2</v>
      </c>
      <c r="E762" s="11" t="s">
        <v>107</v>
      </c>
      <c r="F762" s="11" t="str">
        <f t="shared" si="11"/>
        <v>No</v>
      </c>
    </row>
    <row r="763" spans="1:6" x14ac:dyDescent="0.3">
      <c r="A763" s="9" t="s">
        <v>15</v>
      </c>
      <c r="B763" s="9" t="s">
        <v>68</v>
      </c>
      <c r="C763" s="9" t="s">
        <v>102</v>
      </c>
      <c r="D763" s="9">
        <v>0</v>
      </c>
      <c r="E763" s="11" t="s">
        <v>107</v>
      </c>
      <c r="F763" s="11" t="str">
        <f t="shared" si="11"/>
        <v>No</v>
      </c>
    </row>
    <row r="764" spans="1:6" x14ac:dyDescent="0.3">
      <c r="A764" s="9" t="s">
        <v>15</v>
      </c>
      <c r="B764" s="9" t="s">
        <v>69</v>
      </c>
      <c r="C764" s="9" t="s">
        <v>102</v>
      </c>
      <c r="D764" s="9">
        <v>1</v>
      </c>
      <c r="E764" s="11" t="s">
        <v>107</v>
      </c>
      <c r="F764" s="11" t="str">
        <f t="shared" si="11"/>
        <v>No</v>
      </c>
    </row>
    <row r="765" spans="1:6" x14ac:dyDescent="0.3">
      <c r="A765" s="9" t="s">
        <v>15</v>
      </c>
      <c r="B765" s="9" t="s">
        <v>70</v>
      </c>
      <c r="C765" s="9" t="s">
        <v>102</v>
      </c>
      <c r="D765" s="9">
        <v>0</v>
      </c>
      <c r="E765" s="11" t="s">
        <v>107</v>
      </c>
      <c r="F765" s="11" t="str">
        <f t="shared" si="11"/>
        <v>No</v>
      </c>
    </row>
    <row r="766" spans="1:6" x14ac:dyDescent="0.3">
      <c r="A766" s="9" t="s">
        <v>15</v>
      </c>
      <c r="B766" s="9" t="s">
        <v>75</v>
      </c>
      <c r="C766" s="9" t="s">
        <v>103</v>
      </c>
      <c r="D766" s="9">
        <v>0</v>
      </c>
      <c r="E766" s="11" t="s">
        <v>105</v>
      </c>
      <c r="F766" s="11" t="str">
        <f t="shared" si="11"/>
        <v>Yes</v>
      </c>
    </row>
    <row r="767" spans="1:6" x14ac:dyDescent="0.3">
      <c r="A767" s="9" t="s">
        <v>16</v>
      </c>
      <c r="B767" s="9" t="s">
        <v>88</v>
      </c>
      <c r="C767" s="9" t="s">
        <v>92</v>
      </c>
      <c r="D767" s="9">
        <v>0</v>
      </c>
      <c r="E767" s="11" t="s">
        <v>105</v>
      </c>
      <c r="F767" s="11" t="str">
        <f t="shared" si="11"/>
        <v>Yes</v>
      </c>
    </row>
    <row r="768" spans="1:6" x14ac:dyDescent="0.3">
      <c r="A768" s="9" t="s">
        <v>16</v>
      </c>
      <c r="B768" s="9" t="s">
        <v>38</v>
      </c>
      <c r="C768" s="9" t="s">
        <v>93</v>
      </c>
      <c r="D768" s="9">
        <v>0</v>
      </c>
      <c r="E768" s="11" t="s">
        <v>105</v>
      </c>
      <c r="F768" s="11" t="str">
        <f t="shared" si="11"/>
        <v>Yes</v>
      </c>
    </row>
    <row r="769" spans="1:6" x14ac:dyDescent="0.3">
      <c r="A769" s="9" t="s">
        <v>16</v>
      </c>
      <c r="B769" s="9" t="s">
        <v>87</v>
      </c>
      <c r="C769" s="9" t="s">
        <v>94</v>
      </c>
      <c r="D769" s="9">
        <v>2</v>
      </c>
      <c r="E769" s="11" t="s">
        <v>105</v>
      </c>
      <c r="F769" s="11" t="str">
        <f t="shared" si="11"/>
        <v>Yes</v>
      </c>
    </row>
    <row r="770" spans="1:6" x14ac:dyDescent="0.3">
      <c r="A770" s="9" t="s">
        <v>16</v>
      </c>
      <c r="B770" s="9" t="s">
        <v>86</v>
      </c>
      <c r="C770" s="9" t="s">
        <v>86</v>
      </c>
      <c r="D770" s="9">
        <v>1</v>
      </c>
      <c r="E770" s="11" t="s">
        <v>105</v>
      </c>
      <c r="F770" s="11" t="str">
        <f t="shared" ref="F770:F833" si="12">IF(E770="Standalone","Yes",IF(AND(E770="Total",OR(B770="Kidnapping &amp; Abduction (Total)",B770="Rape (Total)",B770="Attempt to Rape (Total)",B770="Assault to Outrage Modesty (Total)",B770="Insult to Modesty (Total)",B770="Immoral Traffic (Prevention) Act (Total)",B770="Women-Centric Cyber Crime (Total)",B770="POCSO (Protection of Children from Sexual Offences Act) (Total)")),"Yes","No"))</f>
        <v>Yes</v>
      </c>
    </row>
    <row r="771" spans="1:6" x14ac:dyDescent="0.3">
      <c r="A771" s="9" t="s">
        <v>16</v>
      </c>
      <c r="B771" s="9" t="s">
        <v>85</v>
      </c>
      <c r="C771" s="9" t="s">
        <v>85</v>
      </c>
      <c r="D771" s="9">
        <v>1</v>
      </c>
      <c r="E771" s="11" t="s">
        <v>105</v>
      </c>
      <c r="F771" s="11" t="str">
        <f t="shared" si="12"/>
        <v>Yes</v>
      </c>
    </row>
    <row r="772" spans="1:6" x14ac:dyDescent="0.3">
      <c r="A772" s="9" t="s">
        <v>16</v>
      </c>
      <c r="B772" s="9" t="s">
        <v>84</v>
      </c>
      <c r="C772" s="9" t="s">
        <v>85</v>
      </c>
      <c r="D772" s="9">
        <v>0</v>
      </c>
      <c r="E772" s="11" t="s">
        <v>105</v>
      </c>
      <c r="F772" s="11" t="str">
        <f t="shared" si="12"/>
        <v>Yes</v>
      </c>
    </row>
    <row r="773" spans="1:6" x14ac:dyDescent="0.3">
      <c r="A773" s="9" t="s">
        <v>16</v>
      </c>
      <c r="B773" s="9" t="s">
        <v>83</v>
      </c>
      <c r="C773" s="9" t="s">
        <v>95</v>
      </c>
      <c r="D773" s="9">
        <v>14</v>
      </c>
      <c r="E773" s="11" t="s">
        <v>105</v>
      </c>
      <c r="F773" s="11" t="str">
        <f t="shared" si="12"/>
        <v>Yes</v>
      </c>
    </row>
    <row r="774" spans="1:6" x14ac:dyDescent="0.3">
      <c r="A774" s="9" t="s">
        <v>16</v>
      </c>
      <c r="B774" s="9" t="s">
        <v>39</v>
      </c>
      <c r="C774" s="9" t="s">
        <v>40</v>
      </c>
      <c r="D774" s="9">
        <v>54</v>
      </c>
      <c r="E774" s="11" t="s">
        <v>106</v>
      </c>
      <c r="F774" s="11" t="str">
        <f t="shared" si="12"/>
        <v>Yes</v>
      </c>
    </row>
    <row r="775" spans="1:6" x14ac:dyDescent="0.3">
      <c r="A775" s="9" t="s">
        <v>16</v>
      </c>
      <c r="B775" s="9" t="s">
        <v>40</v>
      </c>
      <c r="C775" s="9" t="s">
        <v>40</v>
      </c>
      <c r="D775" s="9">
        <v>32</v>
      </c>
      <c r="E775" s="11" t="s">
        <v>107</v>
      </c>
      <c r="F775" s="11" t="str">
        <f t="shared" si="12"/>
        <v>No</v>
      </c>
    </row>
    <row r="776" spans="1:6" x14ac:dyDescent="0.3">
      <c r="A776" s="9" t="s">
        <v>16</v>
      </c>
      <c r="B776" s="9" t="s">
        <v>41</v>
      </c>
      <c r="C776" s="9" t="s">
        <v>40</v>
      </c>
      <c r="D776" s="9">
        <v>0</v>
      </c>
      <c r="E776" s="11" t="s">
        <v>107</v>
      </c>
      <c r="F776" s="11" t="str">
        <f t="shared" si="12"/>
        <v>No</v>
      </c>
    </row>
    <row r="777" spans="1:6" x14ac:dyDescent="0.3">
      <c r="A777" s="9" t="s">
        <v>16</v>
      </c>
      <c r="B777" s="9" t="s">
        <v>42</v>
      </c>
      <c r="C777" s="9" t="s">
        <v>40</v>
      </c>
      <c r="D777" s="9">
        <v>9</v>
      </c>
      <c r="E777" s="11" t="s">
        <v>107</v>
      </c>
      <c r="F777" s="11" t="str">
        <f t="shared" si="12"/>
        <v>No</v>
      </c>
    </row>
    <row r="778" spans="1:6" x14ac:dyDescent="0.3">
      <c r="A778" s="9" t="s">
        <v>16</v>
      </c>
      <c r="B778" s="9" t="s">
        <v>43</v>
      </c>
      <c r="C778" s="9" t="s">
        <v>40</v>
      </c>
      <c r="D778" s="9">
        <v>6</v>
      </c>
      <c r="E778" s="11" t="s">
        <v>106</v>
      </c>
      <c r="F778" s="11" t="str">
        <f t="shared" si="12"/>
        <v>No</v>
      </c>
    </row>
    <row r="779" spans="1:6" x14ac:dyDescent="0.3">
      <c r="A779" s="9" t="s">
        <v>16</v>
      </c>
      <c r="B779" s="9" t="s">
        <v>44</v>
      </c>
      <c r="C779" s="9" t="s">
        <v>40</v>
      </c>
      <c r="D779" s="9">
        <v>3</v>
      </c>
      <c r="E779" s="11" t="s">
        <v>107</v>
      </c>
      <c r="F779" s="11" t="str">
        <f t="shared" si="12"/>
        <v>No</v>
      </c>
    </row>
    <row r="780" spans="1:6" x14ac:dyDescent="0.3">
      <c r="A780" s="9" t="s">
        <v>16</v>
      </c>
      <c r="B780" s="9" t="s">
        <v>45</v>
      </c>
      <c r="C780" s="9" t="s">
        <v>40</v>
      </c>
      <c r="D780" s="9">
        <v>3</v>
      </c>
      <c r="E780" s="11" t="s">
        <v>107</v>
      </c>
      <c r="F780" s="11" t="str">
        <f t="shared" si="12"/>
        <v>No</v>
      </c>
    </row>
    <row r="781" spans="1:6" x14ac:dyDescent="0.3">
      <c r="A781" s="9" t="s">
        <v>16</v>
      </c>
      <c r="B781" s="9" t="s">
        <v>71</v>
      </c>
      <c r="C781" s="9" t="s">
        <v>40</v>
      </c>
      <c r="D781" s="9">
        <v>4</v>
      </c>
      <c r="E781" s="11" t="s">
        <v>105</v>
      </c>
      <c r="F781" s="11" t="str">
        <f t="shared" si="12"/>
        <v>Yes</v>
      </c>
    </row>
    <row r="782" spans="1:6" x14ac:dyDescent="0.3">
      <c r="A782" s="9" t="s">
        <v>16</v>
      </c>
      <c r="B782" s="9" t="s">
        <v>72</v>
      </c>
      <c r="C782" s="9" t="s">
        <v>40</v>
      </c>
      <c r="D782" s="9">
        <v>0</v>
      </c>
      <c r="E782" s="11" t="s">
        <v>105</v>
      </c>
      <c r="F782" s="11" t="str">
        <f t="shared" si="12"/>
        <v>Yes</v>
      </c>
    </row>
    <row r="783" spans="1:6" x14ac:dyDescent="0.3">
      <c r="A783" s="9" t="s">
        <v>16</v>
      </c>
      <c r="B783" s="9" t="s">
        <v>82</v>
      </c>
      <c r="C783" s="9" t="s">
        <v>40</v>
      </c>
      <c r="D783" s="9">
        <v>3</v>
      </c>
      <c r="E783" s="11" t="s">
        <v>105</v>
      </c>
      <c r="F783" s="11" t="str">
        <f t="shared" si="12"/>
        <v>Yes</v>
      </c>
    </row>
    <row r="784" spans="1:6" x14ac:dyDescent="0.3">
      <c r="A784" s="9" t="s">
        <v>16</v>
      </c>
      <c r="B784" s="9" t="s">
        <v>81</v>
      </c>
      <c r="C784" s="9" t="s">
        <v>81</v>
      </c>
      <c r="D784" s="9">
        <v>0</v>
      </c>
      <c r="E784" s="11" t="s">
        <v>105</v>
      </c>
      <c r="F784" s="11" t="str">
        <f t="shared" si="12"/>
        <v>Yes</v>
      </c>
    </row>
    <row r="785" spans="1:6" x14ac:dyDescent="0.3">
      <c r="A785" s="9" t="s">
        <v>16</v>
      </c>
      <c r="B785" s="9" t="s">
        <v>73</v>
      </c>
      <c r="C785" s="9" t="s">
        <v>81</v>
      </c>
      <c r="D785" s="9">
        <v>0</v>
      </c>
      <c r="E785" s="11" t="s">
        <v>105</v>
      </c>
      <c r="F785" s="11" t="str">
        <f t="shared" si="12"/>
        <v>Yes</v>
      </c>
    </row>
    <row r="786" spans="1:6" x14ac:dyDescent="0.3">
      <c r="A786" s="9" t="s">
        <v>16</v>
      </c>
      <c r="B786" s="9" t="s">
        <v>80</v>
      </c>
      <c r="C786" s="9" t="s">
        <v>81</v>
      </c>
      <c r="D786" s="9">
        <v>0</v>
      </c>
      <c r="E786" s="11" t="s">
        <v>105</v>
      </c>
      <c r="F786" s="11" t="str">
        <f t="shared" si="12"/>
        <v>Yes</v>
      </c>
    </row>
    <row r="787" spans="1:6" x14ac:dyDescent="0.3">
      <c r="A787" s="9" t="s">
        <v>16</v>
      </c>
      <c r="B787" s="9" t="s">
        <v>79</v>
      </c>
      <c r="C787" s="9" t="s">
        <v>96</v>
      </c>
      <c r="D787" s="9">
        <v>66</v>
      </c>
      <c r="E787" s="11" t="s">
        <v>106</v>
      </c>
      <c r="F787" s="11" t="str">
        <f t="shared" si="12"/>
        <v>Yes</v>
      </c>
    </row>
    <row r="788" spans="1:6" x14ac:dyDescent="0.3">
      <c r="A788" s="9" t="s">
        <v>16</v>
      </c>
      <c r="B788" s="9" t="s">
        <v>46</v>
      </c>
      <c r="C788" s="9" t="s">
        <v>96</v>
      </c>
      <c r="D788" s="9">
        <v>66</v>
      </c>
      <c r="E788" s="11" t="s">
        <v>107</v>
      </c>
      <c r="F788" s="11" t="str">
        <f t="shared" si="12"/>
        <v>No</v>
      </c>
    </row>
    <row r="789" spans="1:6" x14ac:dyDescent="0.3">
      <c r="A789" s="9" t="s">
        <v>16</v>
      </c>
      <c r="B789" s="9" t="s">
        <v>47</v>
      </c>
      <c r="C789" s="9" t="s">
        <v>96</v>
      </c>
      <c r="D789" s="9">
        <v>0</v>
      </c>
      <c r="E789" s="11" t="s">
        <v>107</v>
      </c>
      <c r="F789" s="11" t="str">
        <f t="shared" si="12"/>
        <v>No</v>
      </c>
    </row>
    <row r="790" spans="1:6" x14ac:dyDescent="0.3">
      <c r="A790" s="9" t="s">
        <v>16</v>
      </c>
      <c r="B790" s="9" t="s">
        <v>48</v>
      </c>
      <c r="C790" s="9" t="s">
        <v>97</v>
      </c>
      <c r="D790" s="9">
        <v>12</v>
      </c>
      <c r="E790" s="11" t="s">
        <v>106</v>
      </c>
      <c r="F790" s="11" t="str">
        <f t="shared" si="12"/>
        <v>Yes</v>
      </c>
    </row>
    <row r="791" spans="1:6" x14ac:dyDescent="0.3">
      <c r="A791" s="9" t="s">
        <v>16</v>
      </c>
      <c r="B791" s="9" t="s">
        <v>49</v>
      </c>
      <c r="C791" s="9" t="s">
        <v>97</v>
      </c>
      <c r="D791" s="9">
        <v>11</v>
      </c>
      <c r="E791" s="11" t="s">
        <v>107</v>
      </c>
      <c r="F791" s="11" t="str">
        <f t="shared" si="12"/>
        <v>No</v>
      </c>
    </row>
    <row r="792" spans="1:6" x14ac:dyDescent="0.3">
      <c r="A792" s="9" t="s">
        <v>16</v>
      </c>
      <c r="B792" s="9" t="s">
        <v>50</v>
      </c>
      <c r="C792" s="9" t="s">
        <v>97</v>
      </c>
      <c r="D792" s="9">
        <v>1</v>
      </c>
      <c r="E792" s="11" t="s">
        <v>107</v>
      </c>
      <c r="F792" s="11" t="str">
        <f t="shared" si="12"/>
        <v>No</v>
      </c>
    </row>
    <row r="793" spans="1:6" x14ac:dyDescent="0.3">
      <c r="A793" s="9" t="s">
        <v>16</v>
      </c>
      <c r="B793" s="9" t="s">
        <v>51</v>
      </c>
      <c r="C793" s="9" t="s">
        <v>99</v>
      </c>
      <c r="D793" s="9">
        <v>51</v>
      </c>
      <c r="E793" s="11" t="s">
        <v>106</v>
      </c>
      <c r="F793" s="11" t="str">
        <f t="shared" si="12"/>
        <v>Yes</v>
      </c>
    </row>
    <row r="794" spans="1:6" x14ac:dyDescent="0.3">
      <c r="A794" s="9" t="s">
        <v>16</v>
      </c>
      <c r="B794" s="9" t="s">
        <v>52</v>
      </c>
      <c r="C794" s="9" t="s">
        <v>99</v>
      </c>
      <c r="D794" s="9">
        <v>49</v>
      </c>
      <c r="E794" s="11" t="s">
        <v>107</v>
      </c>
      <c r="F794" s="11" t="str">
        <f t="shared" si="12"/>
        <v>No</v>
      </c>
    </row>
    <row r="795" spans="1:6" x14ac:dyDescent="0.3">
      <c r="A795" s="9" t="s">
        <v>16</v>
      </c>
      <c r="B795" s="9" t="s">
        <v>53</v>
      </c>
      <c r="C795" s="9" t="s">
        <v>99</v>
      </c>
      <c r="D795" s="9">
        <v>2</v>
      </c>
      <c r="E795" s="11" t="s">
        <v>107</v>
      </c>
      <c r="F795" s="11" t="str">
        <f t="shared" si="12"/>
        <v>No</v>
      </c>
    </row>
    <row r="796" spans="1:6" x14ac:dyDescent="0.3">
      <c r="A796" s="9" t="s">
        <v>16</v>
      </c>
      <c r="B796" s="9" t="s">
        <v>54</v>
      </c>
      <c r="C796" s="9" t="s">
        <v>98</v>
      </c>
      <c r="D796" s="9">
        <v>17</v>
      </c>
      <c r="E796" s="11" t="s">
        <v>106</v>
      </c>
      <c r="F796" s="11" t="str">
        <f t="shared" si="12"/>
        <v>Yes</v>
      </c>
    </row>
    <row r="797" spans="1:6" x14ac:dyDescent="0.3">
      <c r="A797" s="9" t="s">
        <v>16</v>
      </c>
      <c r="B797" s="9" t="s">
        <v>55</v>
      </c>
      <c r="C797" s="9" t="s">
        <v>98</v>
      </c>
      <c r="D797" s="9">
        <v>17</v>
      </c>
      <c r="E797" s="11" t="s">
        <v>107</v>
      </c>
      <c r="F797" s="11" t="str">
        <f t="shared" si="12"/>
        <v>No</v>
      </c>
    </row>
    <row r="798" spans="1:6" x14ac:dyDescent="0.3">
      <c r="A798" s="9" t="s">
        <v>16</v>
      </c>
      <c r="B798" s="9" t="s">
        <v>56</v>
      </c>
      <c r="C798" s="9" t="s">
        <v>98</v>
      </c>
      <c r="D798" s="9">
        <v>0</v>
      </c>
      <c r="E798" s="11" t="s">
        <v>107</v>
      </c>
      <c r="F798" s="11" t="str">
        <f t="shared" si="12"/>
        <v>No</v>
      </c>
    </row>
    <row r="799" spans="1:6" x14ac:dyDescent="0.3">
      <c r="A799" s="9" t="s">
        <v>16</v>
      </c>
      <c r="B799" s="9" t="s">
        <v>74</v>
      </c>
      <c r="C799" s="9" t="s">
        <v>74</v>
      </c>
      <c r="D799" s="9">
        <v>2</v>
      </c>
      <c r="E799" s="11" t="s">
        <v>105</v>
      </c>
      <c r="F799" s="11" t="str">
        <f t="shared" si="12"/>
        <v>Yes</v>
      </c>
    </row>
    <row r="800" spans="1:6" x14ac:dyDescent="0.3">
      <c r="A800" s="9" t="s">
        <v>16</v>
      </c>
      <c r="B800" s="9" t="s">
        <v>57</v>
      </c>
      <c r="C800" s="9" t="s">
        <v>100</v>
      </c>
      <c r="D800" s="9">
        <v>1</v>
      </c>
      <c r="E800" s="11" t="s">
        <v>106</v>
      </c>
      <c r="F800" s="11" t="str">
        <f t="shared" si="12"/>
        <v>Yes</v>
      </c>
    </row>
    <row r="801" spans="1:6" x14ac:dyDescent="0.3">
      <c r="A801" s="9" t="s">
        <v>16</v>
      </c>
      <c r="B801" s="9" t="s">
        <v>76</v>
      </c>
      <c r="C801" s="9" t="s">
        <v>100</v>
      </c>
      <c r="D801" s="9">
        <v>0</v>
      </c>
      <c r="E801" s="11" t="s">
        <v>107</v>
      </c>
      <c r="F801" s="11" t="str">
        <f t="shared" si="12"/>
        <v>No</v>
      </c>
    </row>
    <row r="802" spans="1:6" x14ac:dyDescent="0.3">
      <c r="A802" s="9" t="s">
        <v>16</v>
      </c>
      <c r="B802" s="9" t="s">
        <v>58</v>
      </c>
      <c r="C802" s="9" t="s">
        <v>100</v>
      </c>
      <c r="D802" s="9">
        <v>0</v>
      </c>
      <c r="E802" s="11" t="s">
        <v>107</v>
      </c>
      <c r="F802" s="11" t="str">
        <f t="shared" si="12"/>
        <v>No</v>
      </c>
    </row>
    <row r="803" spans="1:6" x14ac:dyDescent="0.3">
      <c r="A803" s="9" t="s">
        <v>16</v>
      </c>
      <c r="B803" s="9" t="s">
        <v>59</v>
      </c>
      <c r="C803" s="9" t="s">
        <v>100</v>
      </c>
      <c r="D803" s="9">
        <v>1</v>
      </c>
      <c r="E803" s="11" t="s">
        <v>107</v>
      </c>
      <c r="F803" s="11" t="str">
        <f t="shared" si="12"/>
        <v>No</v>
      </c>
    </row>
    <row r="804" spans="1:6" x14ac:dyDescent="0.3">
      <c r="A804" s="9" t="s">
        <v>16</v>
      </c>
      <c r="B804" s="9" t="s">
        <v>60</v>
      </c>
      <c r="C804" s="9" t="s">
        <v>100</v>
      </c>
      <c r="D804" s="9">
        <v>0</v>
      </c>
      <c r="E804" s="11" t="s">
        <v>107</v>
      </c>
      <c r="F804" s="11" t="str">
        <f t="shared" si="12"/>
        <v>No</v>
      </c>
    </row>
    <row r="805" spans="1:6" x14ac:dyDescent="0.3">
      <c r="A805" s="9" t="s">
        <v>16</v>
      </c>
      <c r="B805" s="9" t="s">
        <v>61</v>
      </c>
      <c r="C805" s="9" t="s">
        <v>100</v>
      </c>
      <c r="D805" s="9">
        <v>0</v>
      </c>
      <c r="E805" s="11" t="s">
        <v>107</v>
      </c>
      <c r="F805" s="11" t="str">
        <f t="shared" si="12"/>
        <v>No</v>
      </c>
    </row>
    <row r="806" spans="1:6" x14ac:dyDescent="0.3">
      <c r="A806" s="9" t="s">
        <v>16</v>
      </c>
      <c r="B806" s="9" t="s">
        <v>78</v>
      </c>
      <c r="C806" s="9" t="s">
        <v>95</v>
      </c>
      <c r="D806" s="9">
        <v>0</v>
      </c>
      <c r="E806" s="11" t="s">
        <v>105</v>
      </c>
      <c r="F806" s="11" t="str">
        <f t="shared" si="12"/>
        <v>Yes</v>
      </c>
    </row>
    <row r="807" spans="1:6" x14ac:dyDescent="0.3">
      <c r="A807" s="9" t="s">
        <v>16</v>
      </c>
      <c r="B807" s="9" t="s">
        <v>62</v>
      </c>
      <c r="C807" s="9" t="s">
        <v>101</v>
      </c>
      <c r="D807" s="9">
        <v>10</v>
      </c>
      <c r="E807" s="11" t="s">
        <v>106</v>
      </c>
      <c r="F807" s="11" t="str">
        <f t="shared" si="12"/>
        <v>Yes</v>
      </c>
    </row>
    <row r="808" spans="1:6" x14ac:dyDescent="0.3">
      <c r="A808" s="9" t="s">
        <v>16</v>
      </c>
      <c r="B808" s="9" t="s">
        <v>63</v>
      </c>
      <c r="C808" s="9" t="s">
        <v>101</v>
      </c>
      <c r="D808" s="9">
        <v>9</v>
      </c>
      <c r="E808" s="11" t="s">
        <v>107</v>
      </c>
      <c r="F808" s="11" t="str">
        <f t="shared" si="12"/>
        <v>No</v>
      </c>
    </row>
    <row r="809" spans="1:6" x14ac:dyDescent="0.3">
      <c r="A809" s="9" t="s">
        <v>16</v>
      </c>
      <c r="B809" s="9" t="s">
        <v>64</v>
      </c>
      <c r="C809" s="9" t="s">
        <v>101</v>
      </c>
      <c r="D809" s="9">
        <v>1</v>
      </c>
      <c r="E809" s="11" t="s">
        <v>107</v>
      </c>
      <c r="F809" s="11" t="str">
        <f t="shared" si="12"/>
        <v>No</v>
      </c>
    </row>
    <row r="810" spans="1:6" x14ac:dyDescent="0.3">
      <c r="A810" s="9" t="s">
        <v>16</v>
      </c>
      <c r="B810" s="9" t="s">
        <v>77</v>
      </c>
      <c r="C810" s="9" t="s">
        <v>102</v>
      </c>
      <c r="D810" s="9">
        <v>397</v>
      </c>
      <c r="E810" s="11" t="s">
        <v>106</v>
      </c>
      <c r="F810" s="11" t="str">
        <f t="shared" si="12"/>
        <v>Yes</v>
      </c>
    </row>
    <row r="811" spans="1:6" x14ac:dyDescent="0.3">
      <c r="A811" s="9" t="s">
        <v>16</v>
      </c>
      <c r="B811" s="9" t="s">
        <v>65</v>
      </c>
      <c r="C811" s="9" t="s">
        <v>102</v>
      </c>
      <c r="D811" s="9">
        <v>322</v>
      </c>
      <c r="E811" s="11" t="s">
        <v>107</v>
      </c>
      <c r="F811" s="11" t="str">
        <f t="shared" si="12"/>
        <v>No</v>
      </c>
    </row>
    <row r="812" spans="1:6" x14ac:dyDescent="0.3">
      <c r="A812" s="9" t="s">
        <v>16</v>
      </c>
      <c r="B812" s="9" t="s">
        <v>66</v>
      </c>
      <c r="C812" s="9" t="s">
        <v>102</v>
      </c>
      <c r="D812" s="9">
        <v>53</v>
      </c>
      <c r="E812" s="11" t="s">
        <v>107</v>
      </c>
      <c r="F812" s="11" t="str">
        <f t="shared" si="12"/>
        <v>No</v>
      </c>
    </row>
    <row r="813" spans="1:6" x14ac:dyDescent="0.3">
      <c r="A813" s="9" t="s">
        <v>16</v>
      </c>
      <c r="B813" s="9" t="s">
        <v>67</v>
      </c>
      <c r="C813" s="9" t="s">
        <v>102</v>
      </c>
      <c r="D813" s="9">
        <v>7</v>
      </c>
      <c r="E813" s="11" t="s">
        <v>107</v>
      </c>
      <c r="F813" s="11" t="str">
        <f t="shared" si="12"/>
        <v>No</v>
      </c>
    </row>
    <row r="814" spans="1:6" x14ac:dyDescent="0.3">
      <c r="A814" s="9" t="s">
        <v>16</v>
      </c>
      <c r="B814" s="9" t="s">
        <v>68</v>
      </c>
      <c r="C814" s="9" t="s">
        <v>102</v>
      </c>
      <c r="D814" s="9">
        <v>8</v>
      </c>
      <c r="E814" s="11" t="s">
        <v>107</v>
      </c>
      <c r="F814" s="11" t="str">
        <f t="shared" si="12"/>
        <v>No</v>
      </c>
    </row>
    <row r="815" spans="1:6" x14ac:dyDescent="0.3">
      <c r="A815" s="9" t="s">
        <v>16</v>
      </c>
      <c r="B815" s="9" t="s">
        <v>69</v>
      </c>
      <c r="C815" s="9" t="s">
        <v>102</v>
      </c>
      <c r="D815" s="9">
        <v>7</v>
      </c>
      <c r="E815" s="11" t="s">
        <v>107</v>
      </c>
      <c r="F815" s="11" t="str">
        <f t="shared" si="12"/>
        <v>No</v>
      </c>
    </row>
    <row r="816" spans="1:6" x14ac:dyDescent="0.3">
      <c r="A816" s="9" t="s">
        <v>16</v>
      </c>
      <c r="B816" s="9" t="s">
        <v>70</v>
      </c>
      <c r="C816" s="9" t="s">
        <v>102</v>
      </c>
      <c r="D816" s="9">
        <v>0</v>
      </c>
      <c r="E816" s="11" t="s">
        <v>107</v>
      </c>
      <c r="F816" s="11" t="str">
        <f t="shared" si="12"/>
        <v>No</v>
      </c>
    </row>
    <row r="817" spans="1:6" x14ac:dyDescent="0.3">
      <c r="A817" s="9" t="s">
        <v>16</v>
      </c>
      <c r="B817" s="9" t="s">
        <v>75</v>
      </c>
      <c r="C817" s="9" t="s">
        <v>103</v>
      </c>
      <c r="D817" s="9">
        <v>0</v>
      </c>
      <c r="E817" s="11" t="s">
        <v>105</v>
      </c>
      <c r="F817" s="11" t="str">
        <f t="shared" si="12"/>
        <v>Yes</v>
      </c>
    </row>
    <row r="818" spans="1:6" x14ac:dyDescent="0.3">
      <c r="A818" s="9" t="s">
        <v>17</v>
      </c>
      <c r="B818" s="9" t="s">
        <v>88</v>
      </c>
      <c r="C818" s="9" t="s">
        <v>92</v>
      </c>
      <c r="D818" s="9">
        <v>0</v>
      </c>
      <c r="E818" s="11" t="s">
        <v>105</v>
      </c>
      <c r="F818" s="11" t="str">
        <f t="shared" si="12"/>
        <v>Yes</v>
      </c>
    </row>
    <row r="819" spans="1:6" x14ac:dyDescent="0.3">
      <c r="A819" s="9" t="s">
        <v>17</v>
      </c>
      <c r="B819" s="9" t="s">
        <v>38</v>
      </c>
      <c r="C819" s="9" t="s">
        <v>93</v>
      </c>
      <c r="D819" s="9">
        <v>0</v>
      </c>
      <c r="E819" s="11" t="s">
        <v>105</v>
      </c>
      <c r="F819" s="11" t="str">
        <f t="shared" si="12"/>
        <v>Yes</v>
      </c>
    </row>
    <row r="820" spans="1:6" x14ac:dyDescent="0.3">
      <c r="A820" s="9" t="s">
        <v>17</v>
      </c>
      <c r="B820" s="9" t="s">
        <v>87</v>
      </c>
      <c r="C820" s="9" t="s">
        <v>94</v>
      </c>
      <c r="D820" s="9">
        <v>0</v>
      </c>
      <c r="E820" s="11" t="s">
        <v>105</v>
      </c>
      <c r="F820" s="11" t="str">
        <f t="shared" si="12"/>
        <v>Yes</v>
      </c>
    </row>
    <row r="821" spans="1:6" x14ac:dyDescent="0.3">
      <c r="A821" s="9" t="s">
        <v>17</v>
      </c>
      <c r="B821" s="9" t="s">
        <v>86</v>
      </c>
      <c r="C821" s="9" t="s">
        <v>86</v>
      </c>
      <c r="D821" s="9">
        <v>0</v>
      </c>
      <c r="E821" s="11" t="s">
        <v>105</v>
      </c>
      <c r="F821" s="11" t="str">
        <f t="shared" si="12"/>
        <v>Yes</v>
      </c>
    </row>
    <row r="822" spans="1:6" x14ac:dyDescent="0.3">
      <c r="A822" s="9" t="s">
        <v>17</v>
      </c>
      <c r="B822" s="9" t="s">
        <v>85</v>
      </c>
      <c r="C822" s="9" t="s">
        <v>85</v>
      </c>
      <c r="D822" s="9">
        <v>0</v>
      </c>
      <c r="E822" s="11" t="s">
        <v>105</v>
      </c>
      <c r="F822" s="11" t="str">
        <f t="shared" si="12"/>
        <v>Yes</v>
      </c>
    </row>
    <row r="823" spans="1:6" x14ac:dyDescent="0.3">
      <c r="A823" s="9" t="s">
        <v>17</v>
      </c>
      <c r="B823" s="9" t="s">
        <v>84</v>
      </c>
      <c r="C823" s="9" t="s">
        <v>85</v>
      </c>
      <c r="D823" s="9">
        <v>0</v>
      </c>
      <c r="E823" s="11" t="s">
        <v>105</v>
      </c>
      <c r="F823" s="11" t="str">
        <f t="shared" si="12"/>
        <v>Yes</v>
      </c>
    </row>
    <row r="824" spans="1:6" x14ac:dyDescent="0.3">
      <c r="A824" s="9" t="s">
        <v>17</v>
      </c>
      <c r="B824" s="9" t="s">
        <v>83</v>
      </c>
      <c r="C824" s="9" t="s">
        <v>95</v>
      </c>
      <c r="D824" s="9">
        <v>5</v>
      </c>
      <c r="E824" s="11" t="s">
        <v>105</v>
      </c>
      <c r="F824" s="11" t="str">
        <f t="shared" si="12"/>
        <v>Yes</v>
      </c>
    </row>
    <row r="825" spans="1:6" x14ac:dyDescent="0.3">
      <c r="A825" s="9" t="s">
        <v>17</v>
      </c>
      <c r="B825" s="9" t="s">
        <v>39</v>
      </c>
      <c r="C825" s="9" t="s">
        <v>40</v>
      </c>
      <c r="D825" s="9">
        <v>1</v>
      </c>
      <c r="E825" s="11" t="s">
        <v>106</v>
      </c>
      <c r="F825" s="11" t="str">
        <f t="shared" si="12"/>
        <v>Yes</v>
      </c>
    </row>
    <row r="826" spans="1:6" x14ac:dyDescent="0.3">
      <c r="A826" s="9" t="s">
        <v>17</v>
      </c>
      <c r="B826" s="9" t="s">
        <v>40</v>
      </c>
      <c r="C826" s="9" t="s">
        <v>40</v>
      </c>
      <c r="D826" s="9">
        <v>0</v>
      </c>
      <c r="E826" s="11" t="s">
        <v>107</v>
      </c>
      <c r="F826" s="11" t="str">
        <f t="shared" si="12"/>
        <v>No</v>
      </c>
    </row>
    <row r="827" spans="1:6" x14ac:dyDescent="0.3">
      <c r="A827" s="9" t="s">
        <v>17</v>
      </c>
      <c r="B827" s="9" t="s">
        <v>41</v>
      </c>
      <c r="C827" s="9" t="s">
        <v>40</v>
      </c>
      <c r="D827" s="9">
        <v>1</v>
      </c>
      <c r="E827" s="11" t="s">
        <v>107</v>
      </c>
      <c r="F827" s="11" t="str">
        <f t="shared" si="12"/>
        <v>No</v>
      </c>
    </row>
    <row r="828" spans="1:6" x14ac:dyDescent="0.3">
      <c r="A828" s="9" t="s">
        <v>17</v>
      </c>
      <c r="B828" s="9" t="s">
        <v>42</v>
      </c>
      <c r="C828" s="9" t="s">
        <v>40</v>
      </c>
      <c r="D828" s="9">
        <v>0</v>
      </c>
      <c r="E828" s="11" t="s">
        <v>107</v>
      </c>
      <c r="F828" s="11" t="str">
        <f t="shared" si="12"/>
        <v>No</v>
      </c>
    </row>
    <row r="829" spans="1:6" x14ac:dyDescent="0.3">
      <c r="A829" s="9" t="s">
        <v>17</v>
      </c>
      <c r="B829" s="9" t="s">
        <v>43</v>
      </c>
      <c r="C829" s="9" t="s">
        <v>40</v>
      </c>
      <c r="D829" s="9">
        <v>0</v>
      </c>
      <c r="E829" s="11" t="s">
        <v>106</v>
      </c>
      <c r="F829" s="11" t="str">
        <f t="shared" si="12"/>
        <v>No</v>
      </c>
    </row>
    <row r="830" spans="1:6" x14ac:dyDescent="0.3">
      <c r="A830" s="9" t="s">
        <v>17</v>
      </c>
      <c r="B830" s="9" t="s">
        <v>44</v>
      </c>
      <c r="C830" s="9" t="s">
        <v>40</v>
      </c>
      <c r="D830" s="9">
        <v>0</v>
      </c>
      <c r="E830" s="11" t="s">
        <v>107</v>
      </c>
      <c r="F830" s="11" t="str">
        <f t="shared" si="12"/>
        <v>No</v>
      </c>
    </row>
    <row r="831" spans="1:6" x14ac:dyDescent="0.3">
      <c r="A831" s="9" t="s">
        <v>17</v>
      </c>
      <c r="B831" s="9" t="s">
        <v>45</v>
      </c>
      <c r="C831" s="9" t="s">
        <v>40</v>
      </c>
      <c r="D831" s="9">
        <v>0</v>
      </c>
      <c r="E831" s="11" t="s">
        <v>107</v>
      </c>
      <c r="F831" s="11" t="str">
        <f t="shared" si="12"/>
        <v>No</v>
      </c>
    </row>
    <row r="832" spans="1:6" x14ac:dyDescent="0.3">
      <c r="A832" s="9" t="s">
        <v>17</v>
      </c>
      <c r="B832" s="9" t="s">
        <v>71</v>
      </c>
      <c r="C832" s="9" t="s">
        <v>40</v>
      </c>
      <c r="D832" s="9">
        <v>0</v>
      </c>
      <c r="E832" s="11" t="s">
        <v>105</v>
      </c>
      <c r="F832" s="11" t="str">
        <f t="shared" si="12"/>
        <v>Yes</v>
      </c>
    </row>
    <row r="833" spans="1:6" x14ac:dyDescent="0.3">
      <c r="A833" s="9" t="s">
        <v>17</v>
      </c>
      <c r="B833" s="9" t="s">
        <v>72</v>
      </c>
      <c r="C833" s="9" t="s">
        <v>40</v>
      </c>
      <c r="D833" s="9">
        <v>0</v>
      </c>
      <c r="E833" s="11" t="s">
        <v>105</v>
      </c>
      <c r="F833" s="11" t="str">
        <f t="shared" si="12"/>
        <v>Yes</v>
      </c>
    </row>
    <row r="834" spans="1:6" x14ac:dyDescent="0.3">
      <c r="A834" s="9" t="s">
        <v>17</v>
      </c>
      <c r="B834" s="9" t="s">
        <v>82</v>
      </c>
      <c r="C834" s="9" t="s">
        <v>40</v>
      </c>
      <c r="D834" s="9">
        <v>0</v>
      </c>
      <c r="E834" s="11" t="s">
        <v>105</v>
      </c>
      <c r="F834" s="11" t="str">
        <f t="shared" ref="F834:F897" si="13">IF(E834="Standalone","Yes",IF(AND(E834="Total",OR(B834="Kidnapping &amp; Abduction (Total)",B834="Rape (Total)",B834="Attempt to Rape (Total)",B834="Assault to Outrage Modesty (Total)",B834="Insult to Modesty (Total)",B834="Immoral Traffic (Prevention) Act (Total)",B834="Women-Centric Cyber Crime (Total)",B834="POCSO (Protection of Children from Sexual Offences Act) (Total)")),"Yes","No"))</f>
        <v>Yes</v>
      </c>
    </row>
    <row r="835" spans="1:6" x14ac:dyDescent="0.3">
      <c r="A835" s="9" t="s">
        <v>17</v>
      </c>
      <c r="B835" s="9" t="s">
        <v>81</v>
      </c>
      <c r="C835" s="9" t="s">
        <v>81</v>
      </c>
      <c r="D835" s="9">
        <v>0</v>
      </c>
      <c r="E835" s="11" t="s">
        <v>105</v>
      </c>
      <c r="F835" s="11" t="str">
        <f t="shared" si="13"/>
        <v>Yes</v>
      </c>
    </row>
    <row r="836" spans="1:6" x14ac:dyDescent="0.3">
      <c r="A836" s="9" t="s">
        <v>17</v>
      </c>
      <c r="B836" s="9" t="s">
        <v>73</v>
      </c>
      <c r="C836" s="9" t="s">
        <v>81</v>
      </c>
      <c r="D836" s="9">
        <v>0</v>
      </c>
      <c r="E836" s="11" t="s">
        <v>105</v>
      </c>
      <c r="F836" s="11" t="str">
        <f t="shared" si="13"/>
        <v>Yes</v>
      </c>
    </row>
    <row r="837" spans="1:6" x14ac:dyDescent="0.3">
      <c r="A837" s="9" t="s">
        <v>17</v>
      </c>
      <c r="B837" s="9" t="s">
        <v>80</v>
      </c>
      <c r="C837" s="9" t="s">
        <v>81</v>
      </c>
      <c r="D837" s="9">
        <v>0</v>
      </c>
      <c r="E837" s="11" t="s">
        <v>105</v>
      </c>
      <c r="F837" s="11" t="str">
        <f t="shared" si="13"/>
        <v>Yes</v>
      </c>
    </row>
    <row r="838" spans="1:6" x14ac:dyDescent="0.3">
      <c r="A838" s="9" t="s">
        <v>17</v>
      </c>
      <c r="B838" s="9" t="s">
        <v>79</v>
      </c>
      <c r="C838" s="9" t="s">
        <v>96</v>
      </c>
      <c r="D838" s="9">
        <v>36</v>
      </c>
      <c r="E838" s="11" t="s">
        <v>106</v>
      </c>
      <c r="F838" s="11" t="str">
        <f t="shared" si="13"/>
        <v>Yes</v>
      </c>
    </row>
    <row r="839" spans="1:6" x14ac:dyDescent="0.3">
      <c r="A839" s="9" t="s">
        <v>17</v>
      </c>
      <c r="B839" s="9" t="s">
        <v>46</v>
      </c>
      <c r="C839" s="9" t="s">
        <v>96</v>
      </c>
      <c r="D839" s="9">
        <v>28</v>
      </c>
      <c r="E839" s="11" t="s">
        <v>107</v>
      </c>
      <c r="F839" s="11" t="str">
        <f t="shared" si="13"/>
        <v>No</v>
      </c>
    </row>
    <row r="840" spans="1:6" x14ac:dyDescent="0.3">
      <c r="A840" s="9" t="s">
        <v>17</v>
      </c>
      <c r="B840" s="9" t="s">
        <v>47</v>
      </c>
      <c r="C840" s="9" t="s">
        <v>96</v>
      </c>
      <c r="D840" s="9">
        <v>8</v>
      </c>
      <c r="E840" s="11" t="s">
        <v>107</v>
      </c>
      <c r="F840" s="11" t="str">
        <f t="shared" si="13"/>
        <v>No</v>
      </c>
    </row>
    <row r="841" spans="1:6" x14ac:dyDescent="0.3">
      <c r="A841" s="9" t="s">
        <v>17</v>
      </c>
      <c r="B841" s="9" t="s">
        <v>48</v>
      </c>
      <c r="C841" s="9" t="s">
        <v>97</v>
      </c>
      <c r="D841" s="9">
        <v>1</v>
      </c>
      <c r="E841" s="11" t="s">
        <v>106</v>
      </c>
      <c r="F841" s="11" t="str">
        <f t="shared" si="13"/>
        <v>Yes</v>
      </c>
    </row>
    <row r="842" spans="1:6" x14ac:dyDescent="0.3">
      <c r="A842" s="9" t="s">
        <v>17</v>
      </c>
      <c r="B842" s="9" t="s">
        <v>49</v>
      </c>
      <c r="C842" s="9" t="s">
        <v>97</v>
      </c>
      <c r="D842" s="9">
        <v>1</v>
      </c>
      <c r="E842" s="11" t="s">
        <v>107</v>
      </c>
      <c r="F842" s="11" t="str">
        <f t="shared" si="13"/>
        <v>No</v>
      </c>
    </row>
    <row r="843" spans="1:6" x14ac:dyDescent="0.3">
      <c r="A843" s="9" t="s">
        <v>17</v>
      </c>
      <c r="B843" s="9" t="s">
        <v>50</v>
      </c>
      <c r="C843" s="9" t="s">
        <v>97</v>
      </c>
      <c r="D843" s="9">
        <v>0</v>
      </c>
      <c r="E843" s="11" t="s">
        <v>107</v>
      </c>
      <c r="F843" s="11" t="str">
        <f t="shared" si="13"/>
        <v>No</v>
      </c>
    </row>
    <row r="844" spans="1:6" x14ac:dyDescent="0.3">
      <c r="A844" s="9" t="s">
        <v>17</v>
      </c>
      <c r="B844" s="9" t="s">
        <v>51</v>
      </c>
      <c r="C844" s="9" t="s">
        <v>99</v>
      </c>
      <c r="D844" s="9">
        <v>28</v>
      </c>
      <c r="E844" s="11" t="s">
        <v>106</v>
      </c>
      <c r="F844" s="11" t="str">
        <f t="shared" si="13"/>
        <v>Yes</v>
      </c>
    </row>
    <row r="845" spans="1:6" x14ac:dyDescent="0.3">
      <c r="A845" s="9" t="s">
        <v>17</v>
      </c>
      <c r="B845" s="9" t="s">
        <v>52</v>
      </c>
      <c r="C845" s="9" t="s">
        <v>99</v>
      </c>
      <c r="D845" s="9">
        <v>26</v>
      </c>
      <c r="E845" s="11" t="s">
        <v>107</v>
      </c>
      <c r="F845" s="11" t="str">
        <f t="shared" si="13"/>
        <v>No</v>
      </c>
    </row>
    <row r="846" spans="1:6" x14ac:dyDescent="0.3">
      <c r="A846" s="9" t="s">
        <v>17</v>
      </c>
      <c r="B846" s="9" t="s">
        <v>53</v>
      </c>
      <c r="C846" s="9" t="s">
        <v>99</v>
      </c>
      <c r="D846" s="9">
        <v>2</v>
      </c>
      <c r="E846" s="11" t="s">
        <v>107</v>
      </c>
      <c r="F846" s="11" t="str">
        <f t="shared" si="13"/>
        <v>No</v>
      </c>
    </row>
    <row r="847" spans="1:6" x14ac:dyDescent="0.3">
      <c r="A847" s="9" t="s">
        <v>17</v>
      </c>
      <c r="B847" s="9" t="s">
        <v>54</v>
      </c>
      <c r="C847" s="9" t="s">
        <v>98</v>
      </c>
      <c r="D847" s="9">
        <v>0</v>
      </c>
      <c r="E847" s="11" t="s">
        <v>106</v>
      </c>
      <c r="F847" s="11" t="str">
        <f t="shared" si="13"/>
        <v>Yes</v>
      </c>
    </row>
    <row r="848" spans="1:6" x14ac:dyDescent="0.3">
      <c r="A848" s="9" t="s">
        <v>17</v>
      </c>
      <c r="B848" s="9" t="s">
        <v>55</v>
      </c>
      <c r="C848" s="9" t="s">
        <v>98</v>
      </c>
      <c r="D848" s="9">
        <v>0</v>
      </c>
      <c r="E848" s="11" t="s">
        <v>107</v>
      </c>
      <c r="F848" s="11" t="str">
        <f t="shared" si="13"/>
        <v>No</v>
      </c>
    </row>
    <row r="849" spans="1:6" x14ac:dyDescent="0.3">
      <c r="A849" s="9" t="s">
        <v>17</v>
      </c>
      <c r="B849" s="9" t="s">
        <v>56</v>
      </c>
      <c r="C849" s="9" t="s">
        <v>98</v>
      </c>
      <c r="D849" s="9">
        <v>0</v>
      </c>
      <c r="E849" s="11" t="s">
        <v>107</v>
      </c>
      <c r="F849" s="11" t="str">
        <f t="shared" si="13"/>
        <v>No</v>
      </c>
    </row>
    <row r="850" spans="1:6" x14ac:dyDescent="0.3">
      <c r="A850" s="9" t="s">
        <v>17</v>
      </c>
      <c r="B850" s="9" t="s">
        <v>74</v>
      </c>
      <c r="C850" s="9" t="s">
        <v>74</v>
      </c>
      <c r="D850" s="9">
        <v>0</v>
      </c>
      <c r="E850" s="11" t="s">
        <v>105</v>
      </c>
      <c r="F850" s="11" t="str">
        <f t="shared" si="13"/>
        <v>Yes</v>
      </c>
    </row>
    <row r="851" spans="1:6" x14ac:dyDescent="0.3">
      <c r="A851" s="9" t="s">
        <v>17</v>
      </c>
      <c r="B851" s="9" t="s">
        <v>57</v>
      </c>
      <c r="C851" s="9" t="s">
        <v>100</v>
      </c>
      <c r="D851" s="9">
        <v>0</v>
      </c>
      <c r="E851" s="11" t="s">
        <v>106</v>
      </c>
      <c r="F851" s="11" t="str">
        <f t="shared" si="13"/>
        <v>Yes</v>
      </c>
    </row>
    <row r="852" spans="1:6" x14ac:dyDescent="0.3">
      <c r="A852" s="9" t="s">
        <v>17</v>
      </c>
      <c r="B852" s="9" t="s">
        <v>76</v>
      </c>
      <c r="C852" s="9" t="s">
        <v>100</v>
      </c>
      <c r="D852" s="9">
        <v>0</v>
      </c>
      <c r="E852" s="11" t="s">
        <v>107</v>
      </c>
      <c r="F852" s="11" t="str">
        <f t="shared" si="13"/>
        <v>No</v>
      </c>
    </row>
    <row r="853" spans="1:6" x14ac:dyDescent="0.3">
      <c r="A853" s="9" t="s">
        <v>17</v>
      </c>
      <c r="B853" s="9" t="s">
        <v>58</v>
      </c>
      <c r="C853" s="9" t="s">
        <v>100</v>
      </c>
      <c r="D853" s="9">
        <v>0</v>
      </c>
      <c r="E853" s="11" t="s">
        <v>107</v>
      </c>
      <c r="F853" s="11" t="str">
        <f t="shared" si="13"/>
        <v>No</v>
      </c>
    </row>
    <row r="854" spans="1:6" x14ac:dyDescent="0.3">
      <c r="A854" s="9" t="s">
        <v>17</v>
      </c>
      <c r="B854" s="9" t="s">
        <v>59</v>
      </c>
      <c r="C854" s="9" t="s">
        <v>100</v>
      </c>
      <c r="D854" s="9">
        <v>0</v>
      </c>
      <c r="E854" s="11" t="s">
        <v>107</v>
      </c>
      <c r="F854" s="11" t="str">
        <f t="shared" si="13"/>
        <v>No</v>
      </c>
    </row>
    <row r="855" spans="1:6" x14ac:dyDescent="0.3">
      <c r="A855" s="9" t="s">
        <v>17</v>
      </c>
      <c r="B855" s="9" t="s">
        <v>60</v>
      </c>
      <c r="C855" s="9" t="s">
        <v>100</v>
      </c>
      <c r="D855" s="9">
        <v>0</v>
      </c>
      <c r="E855" s="11" t="s">
        <v>107</v>
      </c>
      <c r="F855" s="11" t="str">
        <f t="shared" si="13"/>
        <v>No</v>
      </c>
    </row>
    <row r="856" spans="1:6" x14ac:dyDescent="0.3">
      <c r="A856" s="9" t="s">
        <v>17</v>
      </c>
      <c r="B856" s="9" t="s">
        <v>61</v>
      </c>
      <c r="C856" s="9" t="s">
        <v>100</v>
      </c>
      <c r="D856" s="9">
        <v>0</v>
      </c>
      <c r="E856" s="11" t="s">
        <v>107</v>
      </c>
      <c r="F856" s="11" t="str">
        <f t="shared" si="13"/>
        <v>No</v>
      </c>
    </row>
    <row r="857" spans="1:6" x14ac:dyDescent="0.3">
      <c r="A857" s="9" t="s">
        <v>17</v>
      </c>
      <c r="B857" s="9" t="s">
        <v>78</v>
      </c>
      <c r="C857" s="9" t="s">
        <v>95</v>
      </c>
      <c r="D857" s="9">
        <v>0</v>
      </c>
      <c r="E857" s="11" t="s">
        <v>105</v>
      </c>
      <c r="F857" s="11" t="str">
        <f t="shared" si="13"/>
        <v>Yes</v>
      </c>
    </row>
    <row r="858" spans="1:6" x14ac:dyDescent="0.3">
      <c r="A858" s="9" t="s">
        <v>17</v>
      </c>
      <c r="B858" s="9" t="s">
        <v>62</v>
      </c>
      <c r="C858" s="9" t="s">
        <v>101</v>
      </c>
      <c r="D858" s="9">
        <v>0</v>
      </c>
      <c r="E858" s="11" t="s">
        <v>106</v>
      </c>
      <c r="F858" s="11" t="str">
        <f t="shared" si="13"/>
        <v>Yes</v>
      </c>
    </row>
    <row r="859" spans="1:6" x14ac:dyDescent="0.3">
      <c r="A859" s="9" t="s">
        <v>17</v>
      </c>
      <c r="B859" s="9" t="s">
        <v>63</v>
      </c>
      <c r="C859" s="9" t="s">
        <v>101</v>
      </c>
      <c r="D859" s="9">
        <v>0</v>
      </c>
      <c r="E859" s="11" t="s">
        <v>107</v>
      </c>
      <c r="F859" s="11" t="str">
        <f t="shared" si="13"/>
        <v>No</v>
      </c>
    </row>
    <row r="860" spans="1:6" x14ac:dyDescent="0.3">
      <c r="A860" s="9" t="s">
        <v>17</v>
      </c>
      <c r="B860" s="9" t="s">
        <v>64</v>
      </c>
      <c r="C860" s="9" t="s">
        <v>101</v>
      </c>
      <c r="D860" s="9">
        <v>0</v>
      </c>
      <c r="E860" s="11" t="s">
        <v>107</v>
      </c>
      <c r="F860" s="11" t="str">
        <f t="shared" si="13"/>
        <v>No</v>
      </c>
    </row>
    <row r="861" spans="1:6" x14ac:dyDescent="0.3">
      <c r="A861" s="9" t="s">
        <v>17</v>
      </c>
      <c r="B861" s="9" t="s">
        <v>77</v>
      </c>
      <c r="C861" s="9" t="s">
        <v>102</v>
      </c>
      <c r="D861" s="9">
        <v>113</v>
      </c>
      <c r="E861" s="11" t="s">
        <v>106</v>
      </c>
      <c r="F861" s="11" t="str">
        <f t="shared" si="13"/>
        <v>Yes</v>
      </c>
    </row>
    <row r="862" spans="1:6" x14ac:dyDescent="0.3">
      <c r="A862" s="9" t="s">
        <v>17</v>
      </c>
      <c r="B862" s="9" t="s">
        <v>65</v>
      </c>
      <c r="C862" s="9" t="s">
        <v>102</v>
      </c>
      <c r="D862" s="9">
        <v>72</v>
      </c>
      <c r="E862" s="11" t="s">
        <v>107</v>
      </c>
      <c r="F862" s="11" t="str">
        <f t="shared" si="13"/>
        <v>No</v>
      </c>
    </row>
    <row r="863" spans="1:6" x14ac:dyDescent="0.3">
      <c r="A863" s="9" t="s">
        <v>17</v>
      </c>
      <c r="B863" s="9" t="s">
        <v>66</v>
      </c>
      <c r="C863" s="9" t="s">
        <v>102</v>
      </c>
      <c r="D863" s="9">
        <v>38</v>
      </c>
      <c r="E863" s="11" t="s">
        <v>107</v>
      </c>
      <c r="F863" s="11" t="str">
        <f t="shared" si="13"/>
        <v>No</v>
      </c>
    </row>
    <row r="864" spans="1:6" x14ac:dyDescent="0.3">
      <c r="A864" s="9" t="s">
        <v>17</v>
      </c>
      <c r="B864" s="9" t="s">
        <v>67</v>
      </c>
      <c r="C864" s="9" t="s">
        <v>102</v>
      </c>
      <c r="D864" s="9">
        <v>0</v>
      </c>
      <c r="E864" s="11" t="s">
        <v>107</v>
      </c>
      <c r="F864" s="11" t="str">
        <f t="shared" si="13"/>
        <v>No</v>
      </c>
    </row>
    <row r="865" spans="1:6" x14ac:dyDescent="0.3">
      <c r="A865" s="9" t="s">
        <v>17</v>
      </c>
      <c r="B865" s="9" t="s">
        <v>68</v>
      </c>
      <c r="C865" s="9" t="s">
        <v>102</v>
      </c>
      <c r="D865" s="9">
        <v>3</v>
      </c>
      <c r="E865" s="11" t="s">
        <v>107</v>
      </c>
      <c r="F865" s="11" t="str">
        <f t="shared" si="13"/>
        <v>No</v>
      </c>
    </row>
    <row r="866" spans="1:6" x14ac:dyDescent="0.3">
      <c r="A866" s="9" t="s">
        <v>17</v>
      </c>
      <c r="B866" s="9" t="s">
        <v>69</v>
      </c>
      <c r="C866" s="9" t="s">
        <v>102</v>
      </c>
      <c r="D866" s="9">
        <v>0</v>
      </c>
      <c r="E866" s="11" t="s">
        <v>107</v>
      </c>
      <c r="F866" s="11" t="str">
        <f t="shared" si="13"/>
        <v>No</v>
      </c>
    </row>
    <row r="867" spans="1:6" x14ac:dyDescent="0.3">
      <c r="A867" s="9" t="s">
        <v>17</v>
      </c>
      <c r="B867" s="9" t="s">
        <v>70</v>
      </c>
      <c r="C867" s="9" t="s">
        <v>102</v>
      </c>
      <c r="D867" s="9">
        <v>0</v>
      </c>
      <c r="E867" s="11" t="s">
        <v>107</v>
      </c>
      <c r="F867" s="11" t="str">
        <f t="shared" si="13"/>
        <v>No</v>
      </c>
    </row>
    <row r="868" spans="1:6" x14ac:dyDescent="0.3">
      <c r="A868" s="9" t="s">
        <v>17</v>
      </c>
      <c r="B868" s="9" t="s">
        <v>75</v>
      </c>
      <c r="C868" s="9" t="s">
        <v>103</v>
      </c>
      <c r="D868" s="9">
        <v>0</v>
      </c>
      <c r="E868" s="11" t="s">
        <v>105</v>
      </c>
      <c r="F868" s="11" t="str">
        <f t="shared" si="13"/>
        <v>Yes</v>
      </c>
    </row>
    <row r="869" spans="1:6" x14ac:dyDescent="0.3">
      <c r="A869" s="9" t="s">
        <v>18</v>
      </c>
      <c r="B869" s="9" t="s">
        <v>88</v>
      </c>
      <c r="C869" s="9" t="s">
        <v>92</v>
      </c>
      <c r="D869" s="9">
        <v>0</v>
      </c>
      <c r="E869" s="11" t="s">
        <v>105</v>
      </c>
      <c r="F869" s="11" t="str">
        <f t="shared" si="13"/>
        <v>Yes</v>
      </c>
    </row>
    <row r="870" spans="1:6" x14ac:dyDescent="0.3">
      <c r="A870" s="9" t="s">
        <v>18</v>
      </c>
      <c r="B870" s="9" t="s">
        <v>38</v>
      </c>
      <c r="C870" s="9" t="s">
        <v>93</v>
      </c>
      <c r="D870" s="9">
        <v>0</v>
      </c>
      <c r="E870" s="11" t="s">
        <v>105</v>
      </c>
      <c r="F870" s="11" t="str">
        <f t="shared" si="13"/>
        <v>Yes</v>
      </c>
    </row>
    <row r="871" spans="1:6" x14ac:dyDescent="0.3">
      <c r="A871" s="9" t="s">
        <v>18</v>
      </c>
      <c r="B871" s="9" t="s">
        <v>87</v>
      </c>
      <c r="C871" s="9" t="s">
        <v>94</v>
      </c>
      <c r="D871" s="9">
        <v>0</v>
      </c>
      <c r="E871" s="11" t="s">
        <v>105</v>
      </c>
      <c r="F871" s="11" t="str">
        <f t="shared" si="13"/>
        <v>Yes</v>
      </c>
    </row>
    <row r="872" spans="1:6" x14ac:dyDescent="0.3">
      <c r="A872" s="9" t="s">
        <v>18</v>
      </c>
      <c r="B872" s="9" t="s">
        <v>86</v>
      </c>
      <c r="C872" s="9" t="s">
        <v>86</v>
      </c>
      <c r="D872" s="9">
        <v>0</v>
      </c>
      <c r="E872" s="11" t="s">
        <v>105</v>
      </c>
      <c r="F872" s="11" t="str">
        <f t="shared" si="13"/>
        <v>Yes</v>
      </c>
    </row>
    <row r="873" spans="1:6" x14ac:dyDescent="0.3">
      <c r="A873" s="9" t="s">
        <v>18</v>
      </c>
      <c r="B873" s="9" t="s">
        <v>85</v>
      </c>
      <c r="C873" s="9" t="s">
        <v>85</v>
      </c>
      <c r="D873" s="9">
        <v>0</v>
      </c>
      <c r="E873" s="11" t="s">
        <v>105</v>
      </c>
      <c r="F873" s="11" t="str">
        <f t="shared" si="13"/>
        <v>Yes</v>
      </c>
    </row>
    <row r="874" spans="1:6" x14ac:dyDescent="0.3">
      <c r="A874" s="9" t="s">
        <v>18</v>
      </c>
      <c r="B874" s="9" t="s">
        <v>84</v>
      </c>
      <c r="C874" s="9" t="s">
        <v>85</v>
      </c>
      <c r="D874" s="9">
        <v>0</v>
      </c>
      <c r="E874" s="11" t="s">
        <v>105</v>
      </c>
      <c r="F874" s="11" t="str">
        <f t="shared" si="13"/>
        <v>Yes</v>
      </c>
    </row>
    <row r="875" spans="1:6" x14ac:dyDescent="0.3">
      <c r="A875" s="9" t="s">
        <v>18</v>
      </c>
      <c r="B875" s="9" t="s">
        <v>83</v>
      </c>
      <c r="C875" s="9" t="s">
        <v>95</v>
      </c>
      <c r="D875" s="9">
        <v>2</v>
      </c>
      <c r="E875" s="11" t="s">
        <v>105</v>
      </c>
      <c r="F875" s="11" t="str">
        <f t="shared" si="13"/>
        <v>Yes</v>
      </c>
    </row>
    <row r="876" spans="1:6" x14ac:dyDescent="0.3">
      <c r="A876" s="9" t="s">
        <v>18</v>
      </c>
      <c r="B876" s="9" t="s">
        <v>39</v>
      </c>
      <c r="C876" s="9" t="s">
        <v>40</v>
      </c>
      <c r="D876" s="9">
        <v>7</v>
      </c>
      <c r="E876" s="11" t="s">
        <v>106</v>
      </c>
      <c r="F876" s="11" t="str">
        <f t="shared" si="13"/>
        <v>Yes</v>
      </c>
    </row>
    <row r="877" spans="1:6" x14ac:dyDescent="0.3">
      <c r="A877" s="9" t="s">
        <v>18</v>
      </c>
      <c r="B877" s="9" t="s">
        <v>40</v>
      </c>
      <c r="C877" s="9" t="s">
        <v>40</v>
      </c>
      <c r="D877" s="9">
        <v>4</v>
      </c>
      <c r="E877" s="11" t="s">
        <v>107</v>
      </c>
      <c r="F877" s="11" t="str">
        <f t="shared" si="13"/>
        <v>No</v>
      </c>
    </row>
    <row r="878" spans="1:6" x14ac:dyDescent="0.3">
      <c r="A878" s="9" t="s">
        <v>18</v>
      </c>
      <c r="B878" s="9" t="s">
        <v>41</v>
      </c>
      <c r="C878" s="9" t="s">
        <v>40</v>
      </c>
      <c r="D878" s="9">
        <v>0</v>
      </c>
      <c r="E878" s="11" t="s">
        <v>107</v>
      </c>
      <c r="F878" s="11" t="str">
        <f t="shared" si="13"/>
        <v>No</v>
      </c>
    </row>
    <row r="879" spans="1:6" x14ac:dyDescent="0.3">
      <c r="A879" s="9" t="s">
        <v>18</v>
      </c>
      <c r="B879" s="9" t="s">
        <v>42</v>
      </c>
      <c r="C879" s="9" t="s">
        <v>40</v>
      </c>
      <c r="D879" s="9">
        <v>1</v>
      </c>
      <c r="E879" s="11" t="s">
        <v>107</v>
      </c>
      <c r="F879" s="11" t="str">
        <f t="shared" si="13"/>
        <v>No</v>
      </c>
    </row>
    <row r="880" spans="1:6" x14ac:dyDescent="0.3">
      <c r="A880" s="9" t="s">
        <v>18</v>
      </c>
      <c r="B880" s="9" t="s">
        <v>43</v>
      </c>
      <c r="C880" s="9" t="s">
        <v>40</v>
      </c>
      <c r="D880" s="9">
        <v>0</v>
      </c>
      <c r="E880" s="11" t="s">
        <v>106</v>
      </c>
      <c r="F880" s="11" t="str">
        <f t="shared" si="13"/>
        <v>No</v>
      </c>
    </row>
    <row r="881" spans="1:6" x14ac:dyDescent="0.3">
      <c r="A881" s="9" t="s">
        <v>18</v>
      </c>
      <c r="B881" s="9" t="s">
        <v>44</v>
      </c>
      <c r="C881" s="9" t="s">
        <v>40</v>
      </c>
      <c r="D881" s="9">
        <v>0</v>
      </c>
      <c r="E881" s="11" t="s">
        <v>107</v>
      </c>
      <c r="F881" s="11" t="str">
        <f t="shared" si="13"/>
        <v>No</v>
      </c>
    </row>
    <row r="882" spans="1:6" x14ac:dyDescent="0.3">
      <c r="A882" s="9" t="s">
        <v>18</v>
      </c>
      <c r="B882" s="9" t="s">
        <v>45</v>
      </c>
      <c r="C882" s="9" t="s">
        <v>40</v>
      </c>
      <c r="D882" s="9">
        <v>0</v>
      </c>
      <c r="E882" s="11" t="s">
        <v>107</v>
      </c>
      <c r="F882" s="11" t="str">
        <f t="shared" si="13"/>
        <v>No</v>
      </c>
    </row>
    <row r="883" spans="1:6" x14ac:dyDescent="0.3">
      <c r="A883" s="9" t="s">
        <v>18</v>
      </c>
      <c r="B883" s="9" t="s">
        <v>71</v>
      </c>
      <c r="C883" s="9" t="s">
        <v>40</v>
      </c>
      <c r="D883" s="9">
        <v>0</v>
      </c>
      <c r="E883" s="11" t="s">
        <v>105</v>
      </c>
      <c r="F883" s="11" t="str">
        <f t="shared" si="13"/>
        <v>Yes</v>
      </c>
    </row>
    <row r="884" spans="1:6" x14ac:dyDescent="0.3">
      <c r="A884" s="9" t="s">
        <v>18</v>
      </c>
      <c r="B884" s="9" t="s">
        <v>72</v>
      </c>
      <c r="C884" s="9" t="s">
        <v>40</v>
      </c>
      <c r="D884" s="9">
        <v>0</v>
      </c>
      <c r="E884" s="11" t="s">
        <v>105</v>
      </c>
      <c r="F884" s="11" t="str">
        <f t="shared" si="13"/>
        <v>Yes</v>
      </c>
    </row>
    <row r="885" spans="1:6" x14ac:dyDescent="0.3">
      <c r="A885" s="9" t="s">
        <v>18</v>
      </c>
      <c r="B885" s="9" t="s">
        <v>82</v>
      </c>
      <c r="C885" s="9" t="s">
        <v>40</v>
      </c>
      <c r="D885" s="9">
        <v>2</v>
      </c>
      <c r="E885" s="11" t="s">
        <v>105</v>
      </c>
      <c r="F885" s="11" t="str">
        <f t="shared" si="13"/>
        <v>Yes</v>
      </c>
    </row>
    <row r="886" spans="1:6" x14ac:dyDescent="0.3">
      <c r="A886" s="9" t="s">
        <v>18</v>
      </c>
      <c r="B886" s="9" t="s">
        <v>81</v>
      </c>
      <c r="C886" s="9" t="s">
        <v>81</v>
      </c>
      <c r="D886" s="9">
        <v>0</v>
      </c>
      <c r="E886" s="11" t="s">
        <v>105</v>
      </c>
      <c r="F886" s="11" t="str">
        <f t="shared" si="13"/>
        <v>Yes</v>
      </c>
    </row>
    <row r="887" spans="1:6" x14ac:dyDescent="0.3">
      <c r="A887" s="9" t="s">
        <v>18</v>
      </c>
      <c r="B887" s="9" t="s">
        <v>73</v>
      </c>
      <c r="C887" s="9" t="s">
        <v>81</v>
      </c>
      <c r="D887" s="9">
        <v>0</v>
      </c>
      <c r="E887" s="11" t="s">
        <v>105</v>
      </c>
      <c r="F887" s="11" t="str">
        <f t="shared" si="13"/>
        <v>Yes</v>
      </c>
    </row>
    <row r="888" spans="1:6" x14ac:dyDescent="0.3">
      <c r="A888" s="9" t="s">
        <v>18</v>
      </c>
      <c r="B888" s="9" t="s">
        <v>80</v>
      </c>
      <c r="C888" s="9" t="s">
        <v>81</v>
      </c>
      <c r="D888" s="9">
        <v>0</v>
      </c>
      <c r="E888" s="11" t="s">
        <v>105</v>
      </c>
      <c r="F888" s="11" t="str">
        <f t="shared" si="13"/>
        <v>Yes</v>
      </c>
    </row>
    <row r="889" spans="1:6" x14ac:dyDescent="0.3">
      <c r="A889" s="9" t="s">
        <v>18</v>
      </c>
      <c r="B889" s="9" t="s">
        <v>79</v>
      </c>
      <c r="C889" s="9" t="s">
        <v>96</v>
      </c>
      <c r="D889" s="9">
        <v>10</v>
      </c>
      <c r="E889" s="11" t="s">
        <v>106</v>
      </c>
      <c r="F889" s="11" t="str">
        <f t="shared" si="13"/>
        <v>Yes</v>
      </c>
    </row>
    <row r="890" spans="1:6" x14ac:dyDescent="0.3">
      <c r="A890" s="9" t="s">
        <v>18</v>
      </c>
      <c r="B890" s="9" t="s">
        <v>46</v>
      </c>
      <c r="C890" s="9" t="s">
        <v>96</v>
      </c>
      <c r="D890" s="9">
        <v>7</v>
      </c>
      <c r="E890" s="11" t="s">
        <v>107</v>
      </c>
      <c r="F890" s="11" t="str">
        <f t="shared" si="13"/>
        <v>No</v>
      </c>
    </row>
    <row r="891" spans="1:6" x14ac:dyDescent="0.3">
      <c r="A891" s="9" t="s">
        <v>18</v>
      </c>
      <c r="B891" s="9" t="s">
        <v>47</v>
      </c>
      <c r="C891" s="9" t="s">
        <v>96</v>
      </c>
      <c r="D891" s="9">
        <v>3</v>
      </c>
      <c r="E891" s="11" t="s">
        <v>107</v>
      </c>
      <c r="F891" s="11" t="str">
        <f t="shared" si="13"/>
        <v>No</v>
      </c>
    </row>
    <row r="892" spans="1:6" x14ac:dyDescent="0.3">
      <c r="A892" s="9" t="s">
        <v>18</v>
      </c>
      <c r="B892" s="9" t="s">
        <v>48</v>
      </c>
      <c r="C892" s="9" t="s">
        <v>97</v>
      </c>
      <c r="D892" s="9">
        <v>3</v>
      </c>
      <c r="E892" s="11" t="s">
        <v>106</v>
      </c>
      <c r="F892" s="11" t="str">
        <f t="shared" si="13"/>
        <v>Yes</v>
      </c>
    </row>
    <row r="893" spans="1:6" x14ac:dyDescent="0.3">
      <c r="A893" s="9" t="s">
        <v>18</v>
      </c>
      <c r="B893" s="9" t="s">
        <v>49</v>
      </c>
      <c r="C893" s="9" t="s">
        <v>97</v>
      </c>
      <c r="D893" s="9">
        <v>2</v>
      </c>
      <c r="E893" s="11" t="s">
        <v>107</v>
      </c>
      <c r="F893" s="11" t="str">
        <f t="shared" si="13"/>
        <v>No</v>
      </c>
    </row>
    <row r="894" spans="1:6" x14ac:dyDescent="0.3">
      <c r="A894" s="9" t="s">
        <v>18</v>
      </c>
      <c r="B894" s="9" t="s">
        <v>50</v>
      </c>
      <c r="C894" s="9" t="s">
        <v>97</v>
      </c>
      <c r="D894" s="9">
        <v>1</v>
      </c>
      <c r="E894" s="11" t="s">
        <v>107</v>
      </c>
      <c r="F894" s="11" t="str">
        <f t="shared" si="13"/>
        <v>No</v>
      </c>
    </row>
    <row r="895" spans="1:6" x14ac:dyDescent="0.3">
      <c r="A895" s="9" t="s">
        <v>18</v>
      </c>
      <c r="B895" s="9" t="s">
        <v>51</v>
      </c>
      <c r="C895" s="9" t="s">
        <v>99</v>
      </c>
      <c r="D895" s="9">
        <v>14</v>
      </c>
      <c r="E895" s="11" t="s">
        <v>106</v>
      </c>
      <c r="F895" s="11" t="str">
        <f t="shared" si="13"/>
        <v>Yes</v>
      </c>
    </row>
    <row r="896" spans="1:6" x14ac:dyDescent="0.3">
      <c r="A896" s="9" t="s">
        <v>18</v>
      </c>
      <c r="B896" s="9" t="s">
        <v>52</v>
      </c>
      <c r="C896" s="9" t="s">
        <v>99</v>
      </c>
      <c r="D896" s="9">
        <v>12</v>
      </c>
      <c r="E896" s="11" t="s">
        <v>107</v>
      </c>
      <c r="F896" s="11" t="str">
        <f t="shared" si="13"/>
        <v>No</v>
      </c>
    </row>
    <row r="897" spans="1:6" x14ac:dyDescent="0.3">
      <c r="A897" s="9" t="s">
        <v>18</v>
      </c>
      <c r="B897" s="9" t="s">
        <v>53</v>
      </c>
      <c r="C897" s="9" t="s">
        <v>99</v>
      </c>
      <c r="D897" s="9">
        <v>2</v>
      </c>
      <c r="E897" s="11" t="s">
        <v>107</v>
      </c>
      <c r="F897" s="11" t="str">
        <f t="shared" si="13"/>
        <v>No</v>
      </c>
    </row>
    <row r="898" spans="1:6" x14ac:dyDescent="0.3">
      <c r="A898" s="9" t="s">
        <v>18</v>
      </c>
      <c r="B898" s="9" t="s">
        <v>54</v>
      </c>
      <c r="C898" s="9" t="s">
        <v>98</v>
      </c>
      <c r="D898" s="9">
        <v>1</v>
      </c>
      <c r="E898" s="11" t="s">
        <v>106</v>
      </c>
      <c r="F898" s="11" t="str">
        <f t="shared" ref="F898:F961" si="14">IF(E898="Standalone","Yes",IF(AND(E898="Total",OR(B898="Kidnapping &amp; Abduction (Total)",B898="Rape (Total)",B898="Attempt to Rape (Total)",B898="Assault to Outrage Modesty (Total)",B898="Insult to Modesty (Total)",B898="Immoral Traffic (Prevention) Act (Total)",B898="Women-Centric Cyber Crime (Total)",B898="POCSO (Protection of Children from Sexual Offences Act) (Total)")),"Yes","No"))</f>
        <v>Yes</v>
      </c>
    </row>
    <row r="899" spans="1:6" x14ac:dyDescent="0.3">
      <c r="A899" s="9" t="s">
        <v>18</v>
      </c>
      <c r="B899" s="9" t="s">
        <v>55</v>
      </c>
      <c r="C899" s="9" t="s">
        <v>98</v>
      </c>
      <c r="D899" s="9">
        <v>1</v>
      </c>
      <c r="E899" s="11" t="s">
        <v>107</v>
      </c>
      <c r="F899" s="11" t="str">
        <f t="shared" si="14"/>
        <v>No</v>
      </c>
    </row>
    <row r="900" spans="1:6" x14ac:dyDescent="0.3">
      <c r="A900" s="9" t="s">
        <v>18</v>
      </c>
      <c r="B900" s="9" t="s">
        <v>56</v>
      </c>
      <c r="C900" s="9" t="s">
        <v>98</v>
      </c>
      <c r="D900" s="9">
        <v>0</v>
      </c>
      <c r="E900" s="11" t="s">
        <v>107</v>
      </c>
      <c r="F900" s="11" t="str">
        <f t="shared" si="14"/>
        <v>No</v>
      </c>
    </row>
    <row r="901" spans="1:6" x14ac:dyDescent="0.3">
      <c r="A901" s="9" t="s">
        <v>18</v>
      </c>
      <c r="B901" s="9" t="s">
        <v>74</v>
      </c>
      <c r="C901" s="9" t="s">
        <v>74</v>
      </c>
      <c r="D901" s="9">
        <v>0</v>
      </c>
      <c r="E901" s="11" t="s">
        <v>105</v>
      </c>
      <c r="F901" s="11" t="str">
        <f t="shared" si="14"/>
        <v>Yes</v>
      </c>
    </row>
    <row r="902" spans="1:6" x14ac:dyDescent="0.3">
      <c r="A902" s="9" t="s">
        <v>18</v>
      </c>
      <c r="B902" s="9" t="s">
        <v>57</v>
      </c>
      <c r="C902" s="9" t="s">
        <v>100</v>
      </c>
      <c r="D902" s="9">
        <v>1</v>
      </c>
      <c r="E902" s="11" t="s">
        <v>106</v>
      </c>
      <c r="F902" s="11" t="str">
        <f t="shared" si="14"/>
        <v>Yes</v>
      </c>
    </row>
    <row r="903" spans="1:6" x14ac:dyDescent="0.3">
      <c r="A903" s="9" t="s">
        <v>18</v>
      </c>
      <c r="B903" s="9" t="s">
        <v>76</v>
      </c>
      <c r="C903" s="9" t="s">
        <v>100</v>
      </c>
      <c r="D903" s="9">
        <v>0</v>
      </c>
      <c r="E903" s="11" t="s">
        <v>107</v>
      </c>
      <c r="F903" s="11" t="str">
        <f t="shared" si="14"/>
        <v>No</v>
      </c>
    </row>
    <row r="904" spans="1:6" x14ac:dyDescent="0.3">
      <c r="A904" s="9" t="s">
        <v>18</v>
      </c>
      <c r="B904" s="9" t="s">
        <v>58</v>
      </c>
      <c r="C904" s="9" t="s">
        <v>100</v>
      </c>
      <c r="D904" s="9">
        <v>0</v>
      </c>
      <c r="E904" s="11" t="s">
        <v>107</v>
      </c>
      <c r="F904" s="11" t="str">
        <f t="shared" si="14"/>
        <v>No</v>
      </c>
    </row>
    <row r="905" spans="1:6" x14ac:dyDescent="0.3">
      <c r="A905" s="9" t="s">
        <v>18</v>
      </c>
      <c r="B905" s="9" t="s">
        <v>59</v>
      </c>
      <c r="C905" s="9" t="s">
        <v>100</v>
      </c>
      <c r="D905" s="9">
        <v>0</v>
      </c>
      <c r="E905" s="11" t="s">
        <v>107</v>
      </c>
      <c r="F905" s="11" t="str">
        <f t="shared" si="14"/>
        <v>No</v>
      </c>
    </row>
    <row r="906" spans="1:6" x14ac:dyDescent="0.3">
      <c r="A906" s="9" t="s">
        <v>18</v>
      </c>
      <c r="B906" s="9" t="s">
        <v>60</v>
      </c>
      <c r="C906" s="9" t="s">
        <v>100</v>
      </c>
      <c r="D906" s="9">
        <v>0</v>
      </c>
      <c r="E906" s="11" t="s">
        <v>107</v>
      </c>
      <c r="F906" s="11" t="str">
        <f t="shared" si="14"/>
        <v>No</v>
      </c>
    </row>
    <row r="907" spans="1:6" x14ac:dyDescent="0.3">
      <c r="A907" s="9" t="s">
        <v>18</v>
      </c>
      <c r="B907" s="9" t="s">
        <v>61</v>
      </c>
      <c r="C907" s="9" t="s">
        <v>100</v>
      </c>
      <c r="D907" s="9">
        <v>1</v>
      </c>
      <c r="E907" s="11" t="s">
        <v>107</v>
      </c>
      <c r="F907" s="11" t="str">
        <f t="shared" si="14"/>
        <v>No</v>
      </c>
    </row>
    <row r="908" spans="1:6" x14ac:dyDescent="0.3">
      <c r="A908" s="9" t="s">
        <v>18</v>
      </c>
      <c r="B908" s="9" t="s">
        <v>78</v>
      </c>
      <c r="C908" s="9" t="s">
        <v>95</v>
      </c>
      <c r="D908" s="9">
        <v>2</v>
      </c>
      <c r="E908" s="11" t="s">
        <v>105</v>
      </c>
      <c r="F908" s="11" t="str">
        <f t="shared" si="14"/>
        <v>Yes</v>
      </c>
    </row>
    <row r="909" spans="1:6" x14ac:dyDescent="0.3">
      <c r="A909" s="9" t="s">
        <v>18</v>
      </c>
      <c r="B909" s="9" t="s">
        <v>62</v>
      </c>
      <c r="C909" s="9" t="s">
        <v>101</v>
      </c>
      <c r="D909" s="9">
        <v>1</v>
      </c>
      <c r="E909" s="11" t="s">
        <v>106</v>
      </c>
      <c r="F909" s="11" t="str">
        <f t="shared" si="14"/>
        <v>Yes</v>
      </c>
    </row>
    <row r="910" spans="1:6" x14ac:dyDescent="0.3">
      <c r="A910" s="9" t="s">
        <v>18</v>
      </c>
      <c r="B910" s="9" t="s">
        <v>63</v>
      </c>
      <c r="C910" s="9" t="s">
        <v>101</v>
      </c>
      <c r="D910" s="9">
        <v>1</v>
      </c>
      <c r="E910" s="11" t="s">
        <v>107</v>
      </c>
      <c r="F910" s="11" t="str">
        <f t="shared" si="14"/>
        <v>No</v>
      </c>
    </row>
    <row r="911" spans="1:6" x14ac:dyDescent="0.3">
      <c r="A911" s="9" t="s">
        <v>18</v>
      </c>
      <c r="B911" s="9" t="s">
        <v>64</v>
      </c>
      <c r="C911" s="9" t="s">
        <v>101</v>
      </c>
      <c r="D911" s="9">
        <v>0</v>
      </c>
      <c r="E911" s="11" t="s">
        <v>107</v>
      </c>
      <c r="F911" s="11" t="str">
        <f t="shared" si="14"/>
        <v>No</v>
      </c>
    </row>
    <row r="912" spans="1:6" x14ac:dyDescent="0.3">
      <c r="A912" s="9" t="s">
        <v>18</v>
      </c>
      <c r="B912" s="9" t="s">
        <v>77</v>
      </c>
      <c r="C912" s="9" t="s">
        <v>102</v>
      </c>
      <c r="D912" s="9">
        <v>15</v>
      </c>
      <c r="E912" s="11" t="s">
        <v>106</v>
      </c>
      <c r="F912" s="11" t="str">
        <f t="shared" si="14"/>
        <v>Yes</v>
      </c>
    </row>
    <row r="913" spans="1:6" x14ac:dyDescent="0.3">
      <c r="A913" s="9" t="s">
        <v>18</v>
      </c>
      <c r="B913" s="9" t="s">
        <v>65</v>
      </c>
      <c r="C913" s="9" t="s">
        <v>102</v>
      </c>
      <c r="D913" s="9">
        <v>6</v>
      </c>
      <c r="E913" s="11" t="s">
        <v>107</v>
      </c>
      <c r="F913" s="11" t="str">
        <f t="shared" si="14"/>
        <v>No</v>
      </c>
    </row>
    <row r="914" spans="1:6" x14ac:dyDescent="0.3">
      <c r="A914" s="9" t="s">
        <v>18</v>
      </c>
      <c r="B914" s="9" t="s">
        <v>66</v>
      </c>
      <c r="C914" s="9" t="s">
        <v>102</v>
      </c>
      <c r="D914" s="9">
        <v>9</v>
      </c>
      <c r="E914" s="11" t="s">
        <v>107</v>
      </c>
      <c r="F914" s="11" t="str">
        <f t="shared" si="14"/>
        <v>No</v>
      </c>
    </row>
    <row r="915" spans="1:6" x14ac:dyDescent="0.3">
      <c r="A915" s="9" t="s">
        <v>18</v>
      </c>
      <c r="B915" s="9" t="s">
        <v>67</v>
      </c>
      <c r="C915" s="9" t="s">
        <v>102</v>
      </c>
      <c r="D915" s="9">
        <v>0</v>
      </c>
      <c r="E915" s="11" t="s">
        <v>107</v>
      </c>
      <c r="F915" s="11" t="str">
        <f t="shared" si="14"/>
        <v>No</v>
      </c>
    </row>
    <row r="916" spans="1:6" x14ac:dyDescent="0.3">
      <c r="A916" s="9" t="s">
        <v>18</v>
      </c>
      <c r="B916" s="9" t="s">
        <v>68</v>
      </c>
      <c r="C916" s="9" t="s">
        <v>102</v>
      </c>
      <c r="D916" s="9">
        <v>0</v>
      </c>
      <c r="E916" s="11" t="s">
        <v>107</v>
      </c>
      <c r="F916" s="11" t="str">
        <f t="shared" si="14"/>
        <v>No</v>
      </c>
    </row>
    <row r="917" spans="1:6" x14ac:dyDescent="0.3">
      <c r="A917" s="9" t="s">
        <v>18</v>
      </c>
      <c r="B917" s="9" t="s">
        <v>69</v>
      </c>
      <c r="C917" s="9" t="s">
        <v>102</v>
      </c>
      <c r="D917" s="9">
        <v>0</v>
      </c>
      <c r="E917" s="11" t="s">
        <v>107</v>
      </c>
      <c r="F917" s="11" t="str">
        <f t="shared" si="14"/>
        <v>No</v>
      </c>
    </row>
    <row r="918" spans="1:6" x14ac:dyDescent="0.3">
      <c r="A918" s="9" t="s">
        <v>18</v>
      </c>
      <c r="B918" s="9" t="s">
        <v>70</v>
      </c>
      <c r="C918" s="9" t="s">
        <v>102</v>
      </c>
      <c r="D918" s="9">
        <v>0</v>
      </c>
      <c r="E918" s="11" t="s">
        <v>107</v>
      </c>
      <c r="F918" s="11" t="str">
        <f t="shared" si="14"/>
        <v>No</v>
      </c>
    </row>
    <row r="919" spans="1:6" x14ac:dyDescent="0.3">
      <c r="A919" s="9" t="s">
        <v>18</v>
      </c>
      <c r="B919" s="9" t="s">
        <v>75</v>
      </c>
      <c r="C919" s="9" t="s">
        <v>103</v>
      </c>
      <c r="D919" s="9">
        <v>0</v>
      </c>
      <c r="E919" s="11" t="s">
        <v>105</v>
      </c>
      <c r="F919" s="11" t="str">
        <f t="shared" si="14"/>
        <v>Yes</v>
      </c>
    </row>
    <row r="920" spans="1:6" x14ac:dyDescent="0.3">
      <c r="A920" s="9" t="s">
        <v>19</v>
      </c>
      <c r="B920" s="9" t="s">
        <v>88</v>
      </c>
      <c r="C920" s="9" t="s">
        <v>92</v>
      </c>
      <c r="D920" s="9">
        <v>15</v>
      </c>
      <c r="E920" s="11" t="s">
        <v>105</v>
      </c>
      <c r="F920" s="11" t="str">
        <f t="shared" si="14"/>
        <v>Yes</v>
      </c>
    </row>
    <row r="921" spans="1:6" x14ac:dyDescent="0.3">
      <c r="A921" s="9" t="s">
        <v>19</v>
      </c>
      <c r="B921" s="9" t="s">
        <v>38</v>
      </c>
      <c r="C921" s="9" t="s">
        <v>93</v>
      </c>
      <c r="D921" s="9">
        <v>231</v>
      </c>
      <c r="E921" s="11" t="s">
        <v>105</v>
      </c>
      <c r="F921" s="11" t="str">
        <f t="shared" si="14"/>
        <v>Yes</v>
      </c>
    </row>
    <row r="922" spans="1:6" x14ac:dyDescent="0.3">
      <c r="A922" s="9" t="s">
        <v>19</v>
      </c>
      <c r="B922" s="9" t="s">
        <v>87</v>
      </c>
      <c r="C922" s="9" t="s">
        <v>94</v>
      </c>
      <c r="D922" s="9">
        <v>0</v>
      </c>
      <c r="E922" s="11" t="s">
        <v>105</v>
      </c>
      <c r="F922" s="11" t="str">
        <f t="shared" si="14"/>
        <v>Yes</v>
      </c>
    </row>
    <row r="923" spans="1:6" x14ac:dyDescent="0.3">
      <c r="A923" s="9" t="s">
        <v>19</v>
      </c>
      <c r="B923" s="9" t="s">
        <v>86</v>
      </c>
      <c r="C923" s="9" t="s">
        <v>86</v>
      </c>
      <c r="D923" s="9">
        <v>0</v>
      </c>
      <c r="E923" s="11" t="s">
        <v>105</v>
      </c>
      <c r="F923" s="11" t="str">
        <f t="shared" si="14"/>
        <v>Yes</v>
      </c>
    </row>
    <row r="924" spans="1:6" x14ac:dyDescent="0.3">
      <c r="A924" s="9" t="s">
        <v>19</v>
      </c>
      <c r="B924" s="9" t="s">
        <v>85</v>
      </c>
      <c r="C924" s="9" t="s">
        <v>85</v>
      </c>
      <c r="D924" s="9">
        <v>5</v>
      </c>
      <c r="E924" s="11" t="s">
        <v>105</v>
      </c>
      <c r="F924" s="11" t="str">
        <f t="shared" si="14"/>
        <v>Yes</v>
      </c>
    </row>
    <row r="925" spans="1:6" x14ac:dyDescent="0.3">
      <c r="A925" s="9" t="s">
        <v>19</v>
      </c>
      <c r="B925" s="9" t="s">
        <v>84</v>
      </c>
      <c r="C925" s="9" t="s">
        <v>85</v>
      </c>
      <c r="D925" s="9">
        <v>2</v>
      </c>
      <c r="E925" s="11" t="s">
        <v>105</v>
      </c>
      <c r="F925" s="11" t="str">
        <f t="shared" si="14"/>
        <v>Yes</v>
      </c>
    </row>
    <row r="926" spans="1:6" x14ac:dyDescent="0.3">
      <c r="A926" s="9" t="s">
        <v>19</v>
      </c>
      <c r="B926" s="9" t="s">
        <v>83</v>
      </c>
      <c r="C926" s="9" t="s">
        <v>95</v>
      </c>
      <c r="D926" s="9">
        <v>5534</v>
      </c>
      <c r="E926" s="11" t="s">
        <v>105</v>
      </c>
      <c r="F926" s="11" t="str">
        <f t="shared" si="14"/>
        <v>Yes</v>
      </c>
    </row>
    <row r="927" spans="1:6" x14ac:dyDescent="0.3">
      <c r="A927" s="9" t="s">
        <v>19</v>
      </c>
      <c r="B927" s="9" t="s">
        <v>39</v>
      </c>
      <c r="C927" s="9" t="s">
        <v>40</v>
      </c>
      <c r="D927" s="9">
        <v>5611</v>
      </c>
      <c r="E927" s="11" t="s">
        <v>106</v>
      </c>
      <c r="F927" s="11" t="str">
        <f t="shared" si="14"/>
        <v>Yes</v>
      </c>
    </row>
    <row r="928" spans="1:6" x14ac:dyDescent="0.3">
      <c r="A928" s="9" t="s">
        <v>19</v>
      </c>
      <c r="B928" s="9" t="s">
        <v>40</v>
      </c>
      <c r="C928" s="9" t="s">
        <v>40</v>
      </c>
      <c r="D928" s="9">
        <v>5400</v>
      </c>
      <c r="E928" s="11" t="s">
        <v>107</v>
      </c>
      <c r="F928" s="11" t="str">
        <f t="shared" si="14"/>
        <v>No</v>
      </c>
    </row>
    <row r="929" spans="1:6" x14ac:dyDescent="0.3">
      <c r="A929" s="9" t="s">
        <v>19</v>
      </c>
      <c r="B929" s="9" t="s">
        <v>41</v>
      </c>
      <c r="C929" s="9" t="s">
        <v>40</v>
      </c>
      <c r="D929" s="9">
        <v>1</v>
      </c>
      <c r="E929" s="11" t="s">
        <v>107</v>
      </c>
      <c r="F929" s="11" t="str">
        <f t="shared" si="14"/>
        <v>No</v>
      </c>
    </row>
    <row r="930" spans="1:6" x14ac:dyDescent="0.3">
      <c r="A930" s="9" t="s">
        <v>19</v>
      </c>
      <c r="B930" s="9" t="s">
        <v>42</v>
      </c>
      <c r="C930" s="9" t="s">
        <v>40</v>
      </c>
      <c r="D930" s="9">
        <v>8</v>
      </c>
      <c r="E930" s="11" t="s">
        <v>107</v>
      </c>
      <c r="F930" s="11" t="str">
        <f t="shared" si="14"/>
        <v>No</v>
      </c>
    </row>
    <row r="931" spans="1:6" x14ac:dyDescent="0.3">
      <c r="A931" s="9" t="s">
        <v>19</v>
      </c>
      <c r="B931" s="9" t="s">
        <v>43</v>
      </c>
      <c r="C931" s="9" t="s">
        <v>40</v>
      </c>
      <c r="D931" s="9">
        <v>64</v>
      </c>
      <c r="E931" s="11" t="s">
        <v>106</v>
      </c>
      <c r="F931" s="11" t="str">
        <f t="shared" si="14"/>
        <v>No</v>
      </c>
    </row>
    <row r="932" spans="1:6" x14ac:dyDescent="0.3">
      <c r="A932" s="9" t="s">
        <v>19</v>
      </c>
      <c r="B932" s="9" t="s">
        <v>44</v>
      </c>
      <c r="C932" s="9" t="s">
        <v>40</v>
      </c>
      <c r="D932" s="9">
        <v>4</v>
      </c>
      <c r="E932" s="11" t="s">
        <v>107</v>
      </c>
      <c r="F932" s="11" t="str">
        <f t="shared" si="14"/>
        <v>No</v>
      </c>
    </row>
    <row r="933" spans="1:6" x14ac:dyDescent="0.3">
      <c r="A933" s="9" t="s">
        <v>19</v>
      </c>
      <c r="B933" s="9" t="s">
        <v>45</v>
      </c>
      <c r="C933" s="9" t="s">
        <v>40</v>
      </c>
      <c r="D933" s="9">
        <v>60</v>
      </c>
      <c r="E933" s="11" t="s">
        <v>107</v>
      </c>
      <c r="F933" s="11" t="str">
        <f t="shared" si="14"/>
        <v>No</v>
      </c>
    </row>
    <row r="934" spans="1:6" x14ac:dyDescent="0.3">
      <c r="A934" s="9" t="s">
        <v>19</v>
      </c>
      <c r="B934" s="9" t="s">
        <v>71</v>
      </c>
      <c r="C934" s="9" t="s">
        <v>40</v>
      </c>
      <c r="D934" s="9">
        <v>8</v>
      </c>
      <c r="E934" s="11" t="s">
        <v>105</v>
      </c>
      <c r="F934" s="11" t="str">
        <f t="shared" si="14"/>
        <v>Yes</v>
      </c>
    </row>
    <row r="935" spans="1:6" x14ac:dyDescent="0.3">
      <c r="A935" s="9" t="s">
        <v>19</v>
      </c>
      <c r="B935" s="9" t="s">
        <v>72</v>
      </c>
      <c r="C935" s="9" t="s">
        <v>40</v>
      </c>
      <c r="D935" s="9">
        <v>0</v>
      </c>
      <c r="E935" s="11" t="s">
        <v>105</v>
      </c>
      <c r="F935" s="11" t="str">
        <f t="shared" si="14"/>
        <v>Yes</v>
      </c>
    </row>
    <row r="936" spans="1:6" x14ac:dyDescent="0.3">
      <c r="A936" s="9" t="s">
        <v>19</v>
      </c>
      <c r="B936" s="9" t="s">
        <v>82</v>
      </c>
      <c r="C936" s="9" t="s">
        <v>40</v>
      </c>
      <c r="D936" s="9">
        <v>130</v>
      </c>
      <c r="E936" s="11" t="s">
        <v>105</v>
      </c>
      <c r="F936" s="11" t="str">
        <f t="shared" si="14"/>
        <v>Yes</v>
      </c>
    </row>
    <row r="937" spans="1:6" x14ac:dyDescent="0.3">
      <c r="A937" s="9" t="s">
        <v>19</v>
      </c>
      <c r="B937" s="9" t="s">
        <v>81</v>
      </c>
      <c r="C937" s="9" t="s">
        <v>81</v>
      </c>
      <c r="D937" s="9">
        <v>105</v>
      </c>
      <c r="E937" s="11" t="s">
        <v>105</v>
      </c>
      <c r="F937" s="11" t="str">
        <f t="shared" si="14"/>
        <v>Yes</v>
      </c>
    </row>
    <row r="938" spans="1:6" x14ac:dyDescent="0.3">
      <c r="A938" s="9" t="s">
        <v>19</v>
      </c>
      <c r="B938" s="9" t="s">
        <v>73</v>
      </c>
      <c r="C938" s="9" t="s">
        <v>81</v>
      </c>
      <c r="D938" s="9">
        <v>0</v>
      </c>
      <c r="E938" s="11" t="s">
        <v>105</v>
      </c>
      <c r="F938" s="11" t="str">
        <f t="shared" si="14"/>
        <v>Yes</v>
      </c>
    </row>
    <row r="939" spans="1:6" x14ac:dyDescent="0.3">
      <c r="A939" s="9" t="s">
        <v>19</v>
      </c>
      <c r="B939" s="9" t="s">
        <v>80</v>
      </c>
      <c r="C939" s="9" t="s">
        <v>81</v>
      </c>
      <c r="D939" s="9">
        <v>0</v>
      </c>
      <c r="E939" s="11" t="s">
        <v>105</v>
      </c>
      <c r="F939" s="11" t="str">
        <f t="shared" si="14"/>
        <v>Yes</v>
      </c>
    </row>
    <row r="940" spans="1:6" x14ac:dyDescent="0.3">
      <c r="A940" s="9" t="s">
        <v>19</v>
      </c>
      <c r="B940" s="9" t="s">
        <v>79</v>
      </c>
      <c r="C940" s="9" t="s">
        <v>96</v>
      </c>
      <c r="D940" s="9">
        <v>1195</v>
      </c>
      <c r="E940" s="11" t="s">
        <v>106</v>
      </c>
      <c r="F940" s="11" t="str">
        <f t="shared" si="14"/>
        <v>Yes</v>
      </c>
    </row>
    <row r="941" spans="1:6" x14ac:dyDescent="0.3">
      <c r="A941" s="9" t="s">
        <v>19</v>
      </c>
      <c r="B941" s="9" t="s">
        <v>46</v>
      </c>
      <c r="C941" s="9" t="s">
        <v>96</v>
      </c>
      <c r="D941" s="9">
        <v>1193</v>
      </c>
      <c r="E941" s="11" t="s">
        <v>107</v>
      </c>
      <c r="F941" s="11" t="str">
        <f t="shared" si="14"/>
        <v>No</v>
      </c>
    </row>
    <row r="942" spans="1:6" x14ac:dyDescent="0.3">
      <c r="A942" s="9" t="s">
        <v>19</v>
      </c>
      <c r="B942" s="9" t="s">
        <v>47</v>
      </c>
      <c r="C942" s="9" t="s">
        <v>96</v>
      </c>
      <c r="D942" s="9">
        <v>2</v>
      </c>
      <c r="E942" s="11" t="s">
        <v>107</v>
      </c>
      <c r="F942" s="11" t="str">
        <f t="shared" si="14"/>
        <v>No</v>
      </c>
    </row>
    <row r="943" spans="1:6" x14ac:dyDescent="0.3">
      <c r="A943" s="9" t="s">
        <v>19</v>
      </c>
      <c r="B943" s="9" t="s">
        <v>48</v>
      </c>
      <c r="C943" s="9" t="s">
        <v>97</v>
      </c>
      <c r="D943" s="9">
        <v>123</v>
      </c>
      <c r="E943" s="11" t="s">
        <v>106</v>
      </c>
      <c r="F943" s="11" t="str">
        <f t="shared" si="14"/>
        <v>Yes</v>
      </c>
    </row>
    <row r="944" spans="1:6" x14ac:dyDescent="0.3">
      <c r="A944" s="9" t="s">
        <v>19</v>
      </c>
      <c r="B944" s="9" t="s">
        <v>49</v>
      </c>
      <c r="C944" s="9" t="s">
        <v>97</v>
      </c>
      <c r="D944" s="9">
        <v>123</v>
      </c>
      <c r="E944" s="11" t="s">
        <v>107</v>
      </c>
      <c r="F944" s="11" t="str">
        <f t="shared" si="14"/>
        <v>No</v>
      </c>
    </row>
    <row r="945" spans="1:6" x14ac:dyDescent="0.3">
      <c r="A945" s="9" t="s">
        <v>19</v>
      </c>
      <c r="B945" s="9" t="s">
        <v>50</v>
      </c>
      <c r="C945" s="9" t="s">
        <v>97</v>
      </c>
      <c r="D945" s="9">
        <v>0</v>
      </c>
      <c r="E945" s="11" t="s">
        <v>107</v>
      </c>
      <c r="F945" s="11" t="str">
        <f t="shared" si="14"/>
        <v>No</v>
      </c>
    </row>
    <row r="946" spans="1:6" x14ac:dyDescent="0.3">
      <c r="A946" s="9" t="s">
        <v>19</v>
      </c>
      <c r="B946" s="9" t="s">
        <v>51</v>
      </c>
      <c r="C946" s="9" t="s">
        <v>99</v>
      </c>
      <c r="D946" s="9">
        <v>9367</v>
      </c>
      <c r="E946" s="11" t="s">
        <v>106</v>
      </c>
      <c r="F946" s="11" t="str">
        <f t="shared" si="14"/>
        <v>Yes</v>
      </c>
    </row>
    <row r="947" spans="1:6" x14ac:dyDescent="0.3">
      <c r="A947" s="9" t="s">
        <v>19</v>
      </c>
      <c r="B947" s="9" t="s">
        <v>52</v>
      </c>
      <c r="C947" s="9" t="s">
        <v>99</v>
      </c>
      <c r="D947" s="9">
        <v>9365</v>
      </c>
      <c r="E947" s="11" t="s">
        <v>107</v>
      </c>
      <c r="F947" s="11" t="str">
        <f t="shared" si="14"/>
        <v>No</v>
      </c>
    </row>
    <row r="948" spans="1:6" x14ac:dyDescent="0.3">
      <c r="A948" s="9" t="s">
        <v>19</v>
      </c>
      <c r="B948" s="9" t="s">
        <v>53</v>
      </c>
      <c r="C948" s="9" t="s">
        <v>99</v>
      </c>
      <c r="D948" s="9">
        <v>2</v>
      </c>
      <c r="E948" s="11" t="s">
        <v>107</v>
      </c>
      <c r="F948" s="11" t="str">
        <f t="shared" si="14"/>
        <v>No</v>
      </c>
    </row>
    <row r="949" spans="1:6" x14ac:dyDescent="0.3">
      <c r="A949" s="9" t="s">
        <v>19</v>
      </c>
      <c r="B949" s="9" t="s">
        <v>54</v>
      </c>
      <c r="C949" s="9" t="s">
        <v>98</v>
      </c>
      <c r="D949" s="9">
        <v>569</v>
      </c>
      <c r="E949" s="11" t="s">
        <v>106</v>
      </c>
      <c r="F949" s="11" t="str">
        <f t="shared" si="14"/>
        <v>Yes</v>
      </c>
    </row>
    <row r="950" spans="1:6" x14ac:dyDescent="0.3">
      <c r="A950" s="9" t="s">
        <v>19</v>
      </c>
      <c r="B950" s="9" t="s">
        <v>55</v>
      </c>
      <c r="C950" s="9" t="s">
        <v>98</v>
      </c>
      <c r="D950" s="9">
        <v>569</v>
      </c>
      <c r="E950" s="11" t="s">
        <v>107</v>
      </c>
      <c r="F950" s="11" t="str">
        <f t="shared" si="14"/>
        <v>No</v>
      </c>
    </row>
    <row r="951" spans="1:6" x14ac:dyDescent="0.3">
      <c r="A951" s="9" t="s">
        <v>19</v>
      </c>
      <c r="B951" s="9" t="s">
        <v>56</v>
      </c>
      <c r="C951" s="9" t="s">
        <v>98</v>
      </c>
      <c r="D951" s="9">
        <v>0</v>
      </c>
      <c r="E951" s="11" t="s">
        <v>107</v>
      </c>
      <c r="F951" s="11" t="str">
        <f t="shared" si="14"/>
        <v>No</v>
      </c>
    </row>
    <row r="952" spans="1:6" x14ac:dyDescent="0.3">
      <c r="A952" s="9" t="s">
        <v>19</v>
      </c>
      <c r="B952" s="9" t="s">
        <v>74</v>
      </c>
      <c r="C952" s="9" t="s">
        <v>74</v>
      </c>
      <c r="D952" s="9">
        <v>5</v>
      </c>
      <c r="E952" s="11" t="s">
        <v>105</v>
      </c>
      <c r="F952" s="11" t="str">
        <f t="shared" si="14"/>
        <v>Yes</v>
      </c>
    </row>
    <row r="953" spans="1:6" x14ac:dyDescent="0.3">
      <c r="A953" s="9" t="s">
        <v>19</v>
      </c>
      <c r="B953" s="9" t="s">
        <v>57</v>
      </c>
      <c r="C953" s="9" t="s">
        <v>100</v>
      </c>
      <c r="D953" s="9">
        <v>15</v>
      </c>
      <c r="E953" s="11" t="s">
        <v>106</v>
      </c>
      <c r="F953" s="11" t="str">
        <f t="shared" si="14"/>
        <v>Yes</v>
      </c>
    </row>
    <row r="954" spans="1:6" x14ac:dyDescent="0.3">
      <c r="A954" s="9" t="s">
        <v>19</v>
      </c>
      <c r="B954" s="9" t="s">
        <v>76</v>
      </c>
      <c r="C954" s="9" t="s">
        <v>100</v>
      </c>
      <c r="D954" s="9">
        <v>3</v>
      </c>
      <c r="E954" s="11" t="s">
        <v>107</v>
      </c>
      <c r="F954" s="11" t="str">
        <f t="shared" si="14"/>
        <v>No</v>
      </c>
    </row>
    <row r="955" spans="1:6" x14ac:dyDescent="0.3">
      <c r="A955" s="9" t="s">
        <v>19</v>
      </c>
      <c r="B955" s="9" t="s">
        <v>58</v>
      </c>
      <c r="C955" s="9" t="s">
        <v>100</v>
      </c>
      <c r="D955" s="9">
        <v>0</v>
      </c>
      <c r="E955" s="11" t="s">
        <v>107</v>
      </c>
      <c r="F955" s="11" t="str">
        <f t="shared" si="14"/>
        <v>No</v>
      </c>
    </row>
    <row r="956" spans="1:6" x14ac:dyDescent="0.3">
      <c r="A956" s="9" t="s">
        <v>19</v>
      </c>
      <c r="B956" s="9" t="s">
        <v>59</v>
      </c>
      <c r="C956" s="9" t="s">
        <v>100</v>
      </c>
      <c r="D956" s="9">
        <v>0</v>
      </c>
      <c r="E956" s="11" t="s">
        <v>107</v>
      </c>
      <c r="F956" s="11" t="str">
        <f t="shared" si="14"/>
        <v>No</v>
      </c>
    </row>
    <row r="957" spans="1:6" x14ac:dyDescent="0.3">
      <c r="A957" s="9" t="s">
        <v>19</v>
      </c>
      <c r="B957" s="9" t="s">
        <v>60</v>
      </c>
      <c r="C957" s="9" t="s">
        <v>100</v>
      </c>
      <c r="D957" s="9">
        <v>7</v>
      </c>
      <c r="E957" s="11" t="s">
        <v>107</v>
      </c>
      <c r="F957" s="11" t="str">
        <f t="shared" si="14"/>
        <v>No</v>
      </c>
    </row>
    <row r="958" spans="1:6" x14ac:dyDescent="0.3">
      <c r="A958" s="9" t="s">
        <v>19</v>
      </c>
      <c r="B958" s="9" t="s">
        <v>61</v>
      </c>
      <c r="C958" s="9" t="s">
        <v>100</v>
      </c>
      <c r="D958" s="9">
        <v>5</v>
      </c>
      <c r="E958" s="11" t="s">
        <v>107</v>
      </c>
      <c r="F958" s="11" t="str">
        <f t="shared" si="14"/>
        <v>No</v>
      </c>
    </row>
    <row r="959" spans="1:6" x14ac:dyDescent="0.3">
      <c r="A959" s="9" t="s">
        <v>19</v>
      </c>
      <c r="B959" s="9" t="s">
        <v>78</v>
      </c>
      <c r="C959" s="9" t="s">
        <v>95</v>
      </c>
      <c r="D959" s="9">
        <v>0</v>
      </c>
      <c r="E959" s="11" t="s">
        <v>105</v>
      </c>
      <c r="F959" s="11" t="str">
        <f t="shared" si="14"/>
        <v>Yes</v>
      </c>
    </row>
    <row r="960" spans="1:6" x14ac:dyDescent="0.3">
      <c r="A960" s="9" t="s">
        <v>19</v>
      </c>
      <c r="B960" s="9" t="s">
        <v>62</v>
      </c>
      <c r="C960" s="9" t="s">
        <v>101</v>
      </c>
      <c r="D960" s="9">
        <v>761</v>
      </c>
      <c r="E960" s="11" t="s">
        <v>106</v>
      </c>
      <c r="F960" s="11" t="str">
        <f t="shared" si="14"/>
        <v>Yes</v>
      </c>
    </row>
    <row r="961" spans="1:6" x14ac:dyDescent="0.3">
      <c r="A961" s="9" t="s">
        <v>19</v>
      </c>
      <c r="B961" s="9" t="s">
        <v>63</v>
      </c>
      <c r="C961" s="9" t="s">
        <v>101</v>
      </c>
      <c r="D961" s="9">
        <v>358</v>
      </c>
      <c r="E961" s="11" t="s">
        <v>107</v>
      </c>
      <c r="F961" s="11" t="str">
        <f t="shared" si="14"/>
        <v>No</v>
      </c>
    </row>
    <row r="962" spans="1:6" x14ac:dyDescent="0.3">
      <c r="A962" s="9" t="s">
        <v>19</v>
      </c>
      <c r="B962" s="9" t="s">
        <v>64</v>
      </c>
      <c r="C962" s="9" t="s">
        <v>101</v>
      </c>
      <c r="D962" s="9">
        <v>403</v>
      </c>
      <c r="E962" s="11" t="s">
        <v>107</v>
      </c>
      <c r="F962" s="11" t="str">
        <f t="shared" ref="F962:F1025" si="15">IF(E962="Standalone","Yes",IF(AND(E962="Total",OR(B962="Kidnapping &amp; Abduction (Total)",B962="Rape (Total)",B962="Attempt to Rape (Total)",B962="Assault to Outrage Modesty (Total)",B962="Insult to Modesty (Total)",B962="Immoral Traffic (Prevention) Act (Total)",B962="Women-Centric Cyber Crime (Total)",B962="POCSO (Protection of Children from Sexual Offences Act) (Total)")),"Yes","No"))</f>
        <v>No</v>
      </c>
    </row>
    <row r="963" spans="1:6" x14ac:dyDescent="0.3">
      <c r="A963" s="9" t="s">
        <v>19</v>
      </c>
      <c r="B963" s="9" t="s">
        <v>77</v>
      </c>
      <c r="C963" s="9" t="s">
        <v>102</v>
      </c>
      <c r="D963" s="9">
        <v>2368</v>
      </c>
      <c r="E963" s="11" t="s">
        <v>106</v>
      </c>
      <c r="F963" s="11" t="str">
        <f t="shared" si="15"/>
        <v>Yes</v>
      </c>
    </row>
    <row r="964" spans="1:6" x14ac:dyDescent="0.3">
      <c r="A964" s="9" t="s">
        <v>19</v>
      </c>
      <c r="B964" s="9" t="s">
        <v>65</v>
      </c>
      <c r="C964" s="9" t="s">
        <v>102</v>
      </c>
      <c r="D964" s="9">
        <v>1631</v>
      </c>
      <c r="E964" s="11" t="s">
        <v>107</v>
      </c>
      <c r="F964" s="11" t="str">
        <f t="shared" si="15"/>
        <v>No</v>
      </c>
    </row>
    <row r="965" spans="1:6" x14ac:dyDescent="0.3">
      <c r="A965" s="9" t="s">
        <v>19</v>
      </c>
      <c r="B965" s="9" t="s">
        <v>66</v>
      </c>
      <c r="C965" s="9" t="s">
        <v>102</v>
      </c>
      <c r="D965" s="9">
        <v>701</v>
      </c>
      <c r="E965" s="11" t="s">
        <v>107</v>
      </c>
      <c r="F965" s="11" t="str">
        <f t="shared" si="15"/>
        <v>No</v>
      </c>
    </row>
    <row r="966" spans="1:6" x14ac:dyDescent="0.3">
      <c r="A966" s="9" t="s">
        <v>19</v>
      </c>
      <c r="B966" s="9" t="s">
        <v>67</v>
      </c>
      <c r="C966" s="9" t="s">
        <v>102</v>
      </c>
      <c r="D966" s="9">
        <v>1</v>
      </c>
      <c r="E966" s="11" t="s">
        <v>107</v>
      </c>
      <c r="F966" s="11" t="str">
        <f t="shared" si="15"/>
        <v>No</v>
      </c>
    </row>
    <row r="967" spans="1:6" x14ac:dyDescent="0.3">
      <c r="A967" s="9" t="s">
        <v>19</v>
      </c>
      <c r="B967" s="9" t="s">
        <v>68</v>
      </c>
      <c r="C967" s="9" t="s">
        <v>102</v>
      </c>
      <c r="D967" s="9">
        <v>30</v>
      </c>
      <c r="E967" s="11" t="s">
        <v>107</v>
      </c>
      <c r="F967" s="11" t="str">
        <f t="shared" si="15"/>
        <v>No</v>
      </c>
    </row>
    <row r="968" spans="1:6" x14ac:dyDescent="0.3">
      <c r="A968" s="9" t="s">
        <v>19</v>
      </c>
      <c r="B968" s="9" t="s">
        <v>69</v>
      </c>
      <c r="C968" s="9" t="s">
        <v>102</v>
      </c>
      <c r="D968" s="9">
        <v>5</v>
      </c>
      <c r="E968" s="11" t="s">
        <v>107</v>
      </c>
      <c r="F968" s="11" t="str">
        <f t="shared" si="15"/>
        <v>No</v>
      </c>
    </row>
    <row r="969" spans="1:6" x14ac:dyDescent="0.3">
      <c r="A969" s="9" t="s">
        <v>19</v>
      </c>
      <c r="B969" s="9" t="s">
        <v>70</v>
      </c>
      <c r="C969" s="9" t="s">
        <v>102</v>
      </c>
      <c r="D969" s="9">
        <v>0</v>
      </c>
      <c r="E969" s="11" t="s">
        <v>107</v>
      </c>
      <c r="F969" s="11" t="str">
        <f t="shared" si="15"/>
        <v>No</v>
      </c>
    </row>
    <row r="970" spans="1:6" x14ac:dyDescent="0.3">
      <c r="A970" s="9" t="s">
        <v>19</v>
      </c>
      <c r="B970" s="9" t="s">
        <v>75</v>
      </c>
      <c r="C970" s="9" t="s">
        <v>103</v>
      </c>
      <c r="D970" s="9">
        <v>8</v>
      </c>
      <c r="E970" s="11" t="s">
        <v>105</v>
      </c>
      <c r="F970" s="11" t="str">
        <f t="shared" si="15"/>
        <v>Yes</v>
      </c>
    </row>
    <row r="971" spans="1:6" x14ac:dyDescent="0.3">
      <c r="A971" s="9" t="s">
        <v>20</v>
      </c>
      <c r="B971" s="9" t="s">
        <v>88</v>
      </c>
      <c r="C971" s="9" t="s">
        <v>92</v>
      </c>
      <c r="D971" s="9">
        <v>6</v>
      </c>
      <c r="E971" s="11" t="s">
        <v>105</v>
      </c>
      <c r="F971" s="11" t="str">
        <f t="shared" si="15"/>
        <v>Yes</v>
      </c>
    </row>
    <row r="972" spans="1:6" x14ac:dyDescent="0.3">
      <c r="A972" s="9" t="s">
        <v>20</v>
      </c>
      <c r="B972" s="9" t="s">
        <v>38</v>
      </c>
      <c r="C972" s="9" t="s">
        <v>93</v>
      </c>
      <c r="D972" s="9">
        <v>44</v>
      </c>
      <c r="E972" s="11" t="s">
        <v>105</v>
      </c>
      <c r="F972" s="11" t="str">
        <f t="shared" si="15"/>
        <v>Yes</v>
      </c>
    </row>
    <row r="973" spans="1:6" x14ac:dyDescent="0.3">
      <c r="A973" s="9" t="s">
        <v>20</v>
      </c>
      <c r="B973" s="9" t="s">
        <v>87</v>
      </c>
      <c r="C973" s="9" t="s">
        <v>94</v>
      </c>
      <c r="D973" s="9">
        <v>198</v>
      </c>
      <c r="E973" s="11" t="s">
        <v>105</v>
      </c>
      <c r="F973" s="11" t="str">
        <f t="shared" si="15"/>
        <v>Yes</v>
      </c>
    </row>
    <row r="974" spans="1:6" x14ac:dyDescent="0.3">
      <c r="A974" s="9" t="s">
        <v>20</v>
      </c>
      <c r="B974" s="9" t="s">
        <v>86</v>
      </c>
      <c r="C974" s="9" t="s">
        <v>86</v>
      </c>
      <c r="D974" s="9">
        <v>7</v>
      </c>
      <c r="E974" s="11" t="s">
        <v>105</v>
      </c>
      <c r="F974" s="11" t="str">
        <f t="shared" si="15"/>
        <v>Yes</v>
      </c>
    </row>
    <row r="975" spans="1:6" x14ac:dyDescent="0.3">
      <c r="A975" s="9" t="s">
        <v>20</v>
      </c>
      <c r="B975" s="9" t="s">
        <v>85</v>
      </c>
      <c r="C975" s="9" t="s">
        <v>85</v>
      </c>
      <c r="D975" s="9">
        <v>3</v>
      </c>
      <c r="E975" s="11" t="s">
        <v>105</v>
      </c>
      <c r="F975" s="11" t="str">
        <f t="shared" si="15"/>
        <v>Yes</v>
      </c>
    </row>
    <row r="976" spans="1:6" x14ac:dyDescent="0.3">
      <c r="A976" s="9" t="s">
        <v>20</v>
      </c>
      <c r="B976" s="9" t="s">
        <v>84</v>
      </c>
      <c r="C976" s="9" t="s">
        <v>85</v>
      </c>
      <c r="D976" s="9">
        <v>0</v>
      </c>
      <c r="E976" s="11" t="s">
        <v>105</v>
      </c>
      <c r="F976" s="11" t="str">
        <f t="shared" si="15"/>
        <v>Yes</v>
      </c>
    </row>
    <row r="977" spans="1:6" x14ac:dyDescent="0.3">
      <c r="A977" s="9" t="s">
        <v>20</v>
      </c>
      <c r="B977" s="9" t="s">
        <v>83</v>
      </c>
      <c r="C977" s="9" t="s">
        <v>95</v>
      </c>
      <c r="D977" s="9">
        <v>1532</v>
      </c>
      <c r="E977" s="11" t="s">
        <v>105</v>
      </c>
      <c r="F977" s="11" t="str">
        <f t="shared" si="15"/>
        <v>Yes</v>
      </c>
    </row>
    <row r="978" spans="1:6" x14ac:dyDescent="0.3">
      <c r="A978" s="9" t="s">
        <v>20</v>
      </c>
      <c r="B978" s="9" t="s">
        <v>39</v>
      </c>
      <c r="C978" s="9" t="s">
        <v>40</v>
      </c>
      <c r="D978" s="9">
        <v>1430</v>
      </c>
      <c r="E978" s="11" t="s">
        <v>106</v>
      </c>
      <c r="F978" s="11" t="str">
        <f t="shared" si="15"/>
        <v>Yes</v>
      </c>
    </row>
    <row r="979" spans="1:6" x14ac:dyDescent="0.3">
      <c r="A979" s="9" t="s">
        <v>20</v>
      </c>
      <c r="B979" s="9" t="s">
        <v>40</v>
      </c>
      <c r="C979" s="9" t="s">
        <v>40</v>
      </c>
      <c r="D979" s="9">
        <v>12</v>
      </c>
      <c r="E979" s="11" t="s">
        <v>107</v>
      </c>
      <c r="F979" s="11" t="str">
        <f t="shared" si="15"/>
        <v>No</v>
      </c>
    </row>
    <row r="980" spans="1:6" x14ac:dyDescent="0.3">
      <c r="A980" s="9" t="s">
        <v>20</v>
      </c>
      <c r="B980" s="9" t="s">
        <v>41</v>
      </c>
      <c r="C980" s="9" t="s">
        <v>40</v>
      </c>
      <c r="D980" s="9">
        <v>1</v>
      </c>
      <c r="E980" s="11" t="s">
        <v>107</v>
      </c>
      <c r="F980" s="11" t="str">
        <f t="shared" si="15"/>
        <v>No</v>
      </c>
    </row>
    <row r="981" spans="1:6" x14ac:dyDescent="0.3">
      <c r="A981" s="9" t="s">
        <v>20</v>
      </c>
      <c r="B981" s="9" t="s">
        <v>42</v>
      </c>
      <c r="C981" s="9" t="s">
        <v>40</v>
      </c>
      <c r="D981" s="9">
        <v>0</v>
      </c>
      <c r="E981" s="11" t="s">
        <v>107</v>
      </c>
      <c r="F981" s="11" t="str">
        <f t="shared" si="15"/>
        <v>No</v>
      </c>
    </row>
    <row r="982" spans="1:6" x14ac:dyDescent="0.3">
      <c r="A982" s="9" t="s">
        <v>20</v>
      </c>
      <c r="B982" s="9" t="s">
        <v>43</v>
      </c>
      <c r="C982" s="9" t="s">
        <v>40</v>
      </c>
      <c r="D982" s="9">
        <v>1383</v>
      </c>
      <c r="E982" s="11" t="s">
        <v>106</v>
      </c>
      <c r="F982" s="11" t="str">
        <f t="shared" si="15"/>
        <v>No</v>
      </c>
    </row>
    <row r="983" spans="1:6" x14ac:dyDescent="0.3">
      <c r="A983" s="9" t="s">
        <v>20</v>
      </c>
      <c r="B983" s="9" t="s">
        <v>44</v>
      </c>
      <c r="C983" s="9" t="s">
        <v>40</v>
      </c>
      <c r="D983" s="9">
        <v>105</v>
      </c>
      <c r="E983" s="11" t="s">
        <v>107</v>
      </c>
      <c r="F983" s="11" t="str">
        <f t="shared" si="15"/>
        <v>No</v>
      </c>
    </row>
    <row r="984" spans="1:6" x14ac:dyDescent="0.3">
      <c r="A984" s="9" t="s">
        <v>20</v>
      </c>
      <c r="B984" s="9" t="s">
        <v>45</v>
      </c>
      <c r="C984" s="9" t="s">
        <v>40</v>
      </c>
      <c r="D984" s="9">
        <v>1278</v>
      </c>
      <c r="E984" s="11" t="s">
        <v>107</v>
      </c>
      <c r="F984" s="11" t="str">
        <f t="shared" si="15"/>
        <v>No</v>
      </c>
    </row>
    <row r="985" spans="1:6" x14ac:dyDescent="0.3">
      <c r="A985" s="9" t="s">
        <v>20</v>
      </c>
      <c r="B985" s="9" t="s">
        <v>71</v>
      </c>
      <c r="C985" s="9" t="s">
        <v>40</v>
      </c>
      <c r="D985" s="9">
        <v>0</v>
      </c>
      <c r="E985" s="11" t="s">
        <v>105</v>
      </c>
      <c r="F985" s="11" t="str">
        <f t="shared" si="15"/>
        <v>Yes</v>
      </c>
    </row>
    <row r="986" spans="1:6" x14ac:dyDescent="0.3">
      <c r="A986" s="9" t="s">
        <v>20</v>
      </c>
      <c r="B986" s="9" t="s">
        <v>72</v>
      </c>
      <c r="C986" s="9" t="s">
        <v>40</v>
      </c>
      <c r="D986" s="9">
        <v>0</v>
      </c>
      <c r="E986" s="11" t="s">
        <v>105</v>
      </c>
      <c r="F986" s="11" t="str">
        <f t="shared" si="15"/>
        <v>Yes</v>
      </c>
    </row>
    <row r="987" spans="1:6" x14ac:dyDescent="0.3">
      <c r="A987" s="9" t="s">
        <v>20</v>
      </c>
      <c r="B987" s="9" t="s">
        <v>82</v>
      </c>
      <c r="C987" s="9" t="s">
        <v>40</v>
      </c>
      <c r="D987" s="9">
        <v>34</v>
      </c>
      <c r="E987" s="11" t="s">
        <v>105</v>
      </c>
      <c r="F987" s="11" t="str">
        <f t="shared" si="15"/>
        <v>Yes</v>
      </c>
    </row>
    <row r="988" spans="1:6" x14ac:dyDescent="0.3">
      <c r="A988" s="9" t="s">
        <v>20</v>
      </c>
      <c r="B988" s="9" t="s">
        <v>81</v>
      </c>
      <c r="C988" s="9" t="s">
        <v>81</v>
      </c>
      <c r="D988" s="9">
        <v>20</v>
      </c>
      <c r="E988" s="11" t="s">
        <v>105</v>
      </c>
      <c r="F988" s="11" t="str">
        <f t="shared" si="15"/>
        <v>Yes</v>
      </c>
    </row>
    <row r="989" spans="1:6" x14ac:dyDescent="0.3">
      <c r="A989" s="9" t="s">
        <v>20</v>
      </c>
      <c r="B989" s="9" t="s">
        <v>73</v>
      </c>
      <c r="C989" s="9" t="s">
        <v>81</v>
      </c>
      <c r="D989" s="9">
        <v>0</v>
      </c>
      <c r="E989" s="11" t="s">
        <v>105</v>
      </c>
      <c r="F989" s="11" t="str">
        <f t="shared" si="15"/>
        <v>Yes</v>
      </c>
    </row>
    <row r="990" spans="1:6" x14ac:dyDescent="0.3">
      <c r="A990" s="9" t="s">
        <v>20</v>
      </c>
      <c r="B990" s="9" t="s">
        <v>80</v>
      </c>
      <c r="C990" s="9" t="s">
        <v>81</v>
      </c>
      <c r="D990" s="9">
        <v>0</v>
      </c>
      <c r="E990" s="11" t="s">
        <v>105</v>
      </c>
      <c r="F990" s="11" t="str">
        <f t="shared" si="15"/>
        <v>Yes</v>
      </c>
    </row>
    <row r="991" spans="1:6" x14ac:dyDescent="0.3">
      <c r="A991" s="9" t="s">
        <v>20</v>
      </c>
      <c r="B991" s="9" t="s">
        <v>79</v>
      </c>
      <c r="C991" s="9" t="s">
        <v>96</v>
      </c>
      <c r="D991" s="9">
        <v>457</v>
      </c>
      <c r="E991" s="11" t="s">
        <v>106</v>
      </c>
      <c r="F991" s="11" t="str">
        <f t="shared" si="15"/>
        <v>Yes</v>
      </c>
    </row>
    <row r="992" spans="1:6" x14ac:dyDescent="0.3">
      <c r="A992" s="9" t="s">
        <v>20</v>
      </c>
      <c r="B992" s="9" t="s">
        <v>46</v>
      </c>
      <c r="C992" s="9" t="s">
        <v>96</v>
      </c>
      <c r="D992" s="9">
        <v>457</v>
      </c>
      <c r="E992" s="11" t="s">
        <v>107</v>
      </c>
      <c r="F992" s="11" t="str">
        <f t="shared" si="15"/>
        <v>No</v>
      </c>
    </row>
    <row r="993" spans="1:6" x14ac:dyDescent="0.3">
      <c r="A993" s="9" t="s">
        <v>20</v>
      </c>
      <c r="B993" s="9" t="s">
        <v>47</v>
      </c>
      <c r="C993" s="9" t="s">
        <v>96</v>
      </c>
      <c r="D993" s="9">
        <v>0</v>
      </c>
      <c r="E993" s="11" t="s">
        <v>107</v>
      </c>
      <c r="F993" s="11" t="str">
        <f t="shared" si="15"/>
        <v>No</v>
      </c>
    </row>
    <row r="994" spans="1:6" x14ac:dyDescent="0.3">
      <c r="A994" s="9" t="s">
        <v>20</v>
      </c>
      <c r="B994" s="9" t="s">
        <v>48</v>
      </c>
      <c r="C994" s="9" t="s">
        <v>97</v>
      </c>
      <c r="D994" s="9">
        <v>23</v>
      </c>
      <c r="E994" s="11" t="s">
        <v>106</v>
      </c>
      <c r="F994" s="11" t="str">
        <f t="shared" si="15"/>
        <v>Yes</v>
      </c>
    </row>
    <row r="995" spans="1:6" x14ac:dyDescent="0.3">
      <c r="A995" s="9" t="s">
        <v>20</v>
      </c>
      <c r="B995" s="9" t="s">
        <v>49</v>
      </c>
      <c r="C995" s="9" t="s">
        <v>97</v>
      </c>
      <c r="D995" s="9">
        <v>13</v>
      </c>
      <c r="E995" s="11" t="s">
        <v>107</v>
      </c>
      <c r="F995" s="11" t="str">
        <f t="shared" si="15"/>
        <v>No</v>
      </c>
    </row>
    <row r="996" spans="1:6" x14ac:dyDescent="0.3">
      <c r="A996" s="9" t="s">
        <v>20</v>
      </c>
      <c r="B996" s="9" t="s">
        <v>50</v>
      </c>
      <c r="C996" s="9" t="s">
        <v>97</v>
      </c>
      <c r="D996" s="9">
        <v>10</v>
      </c>
      <c r="E996" s="11" t="s">
        <v>107</v>
      </c>
      <c r="F996" s="11" t="str">
        <f t="shared" si="15"/>
        <v>No</v>
      </c>
    </row>
    <row r="997" spans="1:6" x14ac:dyDescent="0.3">
      <c r="A997" s="9" t="s">
        <v>20</v>
      </c>
      <c r="B997" s="9" t="s">
        <v>51</v>
      </c>
      <c r="C997" s="9" t="s">
        <v>99</v>
      </c>
      <c r="D997" s="9">
        <v>656</v>
      </c>
      <c r="E997" s="11" t="s">
        <v>106</v>
      </c>
      <c r="F997" s="11" t="str">
        <f t="shared" si="15"/>
        <v>Yes</v>
      </c>
    </row>
    <row r="998" spans="1:6" x14ac:dyDescent="0.3">
      <c r="A998" s="9" t="s">
        <v>20</v>
      </c>
      <c r="B998" s="9" t="s">
        <v>52</v>
      </c>
      <c r="C998" s="9" t="s">
        <v>99</v>
      </c>
      <c r="D998" s="9">
        <v>618</v>
      </c>
      <c r="E998" s="11" t="s">
        <v>107</v>
      </c>
      <c r="F998" s="11" t="str">
        <f t="shared" si="15"/>
        <v>No</v>
      </c>
    </row>
    <row r="999" spans="1:6" x14ac:dyDescent="0.3">
      <c r="A999" s="9" t="s">
        <v>20</v>
      </c>
      <c r="B999" s="9" t="s">
        <v>53</v>
      </c>
      <c r="C999" s="9" t="s">
        <v>99</v>
      </c>
      <c r="D999" s="9">
        <v>38</v>
      </c>
      <c r="E999" s="11" t="s">
        <v>107</v>
      </c>
      <c r="F999" s="11" t="str">
        <f t="shared" si="15"/>
        <v>No</v>
      </c>
    </row>
    <row r="1000" spans="1:6" x14ac:dyDescent="0.3">
      <c r="A1000" s="9" t="s">
        <v>20</v>
      </c>
      <c r="B1000" s="9" t="s">
        <v>54</v>
      </c>
      <c r="C1000" s="9" t="s">
        <v>98</v>
      </c>
      <c r="D1000" s="9">
        <v>20</v>
      </c>
      <c r="E1000" s="11" t="s">
        <v>106</v>
      </c>
      <c r="F1000" s="11" t="str">
        <f t="shared" si="15"/>
        <v>Yes</v>
      </c>
    </row>
    <row r="1001" spans="1:6" x14ac:dyDescent="0.3">
      <c r="A1001" s="9" t="s">
        <v>20</v>
      </c>
      <c r="B1001" s="9" t="s">
        <v>55</v>
      </c>
      <c r="C1001" s="9" t="s">
        <v>98</v>
      </c>
      <c r="D1001" s="9">
        <v>20</v>
      </c>
      <c r="E1001" s="11" t="s">
        <v>107</v>
      </c>
      <c r="F1001" s="11" t="str">
        <f t="shared" si="15"/>
        <v>No</v>
      </c>
    </row>
    <row r="1002" spans="1:6" x14ac:dyDescent="0.3">
      <c r="A1002" s="9" t="s">
        <v>20</v>
      </c>
      <c r="B1002" s="9" t="s">
        <v>56</v>
      </c>
      <c r="C1002" s="9" t="s">
        <v>98</v>
      </c>
      <c r="D1002" s="9">
        <v>0</v>
      </c>
      <c r="E1002" s="11" t="s">
        <v>107</v>
      </c>
      <c r="F1002" s="11" t="str">
        <f t="shared" si="15"/>
        <v>No</v>
      </c>
    </row>
    <row r="1003" spans="1:6" x14ac:dyDescent="0.3">
      <c r="A1003" s="9" t="s">
        <v>20</v>
      </c>
      <c r="B1003" s="9" t="s">
        <v>74</v>
      </c>
      <c r="C1003" s="9" t="s">
        <v>74</v>
      </c>
      <c r="D1003" s="9">
        <v>4</v>
      </c>
      <c r="E1003" s="11" t="s">
        <v>105</v>
      </c>
      <c r="F1003" s="11" t="str">
        <f t="shared" si="15"/>
        <v>Yes</v>
      </c>
    </row>
    <row r="1004" spans="1:6" x14ac:dyDescent="0.3">
      <c r="A1004" s="9" t="s">
        <v>20</v>
      </c>
      <c r="B1004" s="9" t="s">
        <v>57</v>
      </c>
      <c r="C1004" s="9" t="s">
        <v>100</v>
      </c>
      <c r="D1004" s="9">
        <v>39</v>
      </c>
      <c r="E1004" s="11" t="s">
        <v>106</v>
      </c>
      <c r="F1004" s="11" t="str">
        <f t="shared" si="15"/>
        <v>Yes</v>
      </c>
    </row>
    <row r="1005" spans="1:6" x14ac:dyDescent="0.3">
      <c r="A1005" s="9" t="s">
        <v>20</v>
      </c>
      <c r="B1005" s="9" t="s">
        <v>76</v>
      </c>
      <c r="C1005" s="9" t="s">
        <v>100</v>
      </c>
      <c r="D1005" s="9">
        <v>2</v>
      </c>
      <c r="E1005" s="11" t="s">
        <v>107</v>
      </c>
      <c r="F1005" s="11" t="str">
        <f t="shared" si="15"/>
        <v>No</v>
      </c>
    </row>
    <row r="1006" spans="1:6" x14ac:dyDescent="0.3">
      <c r="A1006" s="9" t="s">
        <v>20</v>
      </c>
      <c r="B1006" s="9" t="s">
        <v>58</v>
      </c>
      <c r="C1006" s="9" t="s">
        <v>100</v>
      </c>
      <c r="D1006" s="9">
        <v>0</v>
      </c>
      <c r="E1006" s="11" t="s">
        <v>107</v>
      </c>
      <c r="F1006" s="11" t="str">
        <f t="shared" si="15"/>
        <v>No</v>
      </c>
    </row>
    <row r="1007" spans="1:6" x14ac:dyDescent="0.3">
      <c r="A1007" s="9" t="s">
        <v>20</v>
      </c>
      <c r="B1007" s="9" t="s">
        <v>59</v>
      </c>
      <c r="C1007" s="9" t="s">
        <v>100</v>
      </c>
      <c r="D1007" s="9">
        <v>4</v>
      </c>
      <c r="E1007" s="11" t="s">
        <v>107</v>
      </c>
      <c r="F1007" s="11" t="str">
        <f t="shared" si="15"/>
        <v>No</v>
      </c>
    </row>
    <row r="1008" spans="1:6" x14ac:dyDescent="0.3">
      <c r="A1008" s="9" t="s">
        <v>20</v>
      </c>
      <c r="B1008" s="9" t="s">
        <v>60</v>
      </c>
      <c r="C1008" s="9" t="s">
        <v>100</v>
      </c>
      <c r="D1008" s="9">
        <v>2</v>
      </c>
      <c r="E1008" s="11" t="s">
        <v>107</v>
      </c>
      <c r="F1008" s="11" t="str">
        <f t="shared" si="15"/>
        <v>No</v>
      </c>
    </row>
    <row r="1009" spans="1:6" x14ac:dyDescent="0.3">
      <c r="A1009" s="9" t="s">
        <v>20</v>
      </c>
      <c r="B1009" s="9" t="s">
        <v>61</v>
      </c>
      <c r="C1009" s="9" t="s">
        <v>100</v>
      </c>
      <c r="D1009" s="9">
        <v>31</v>
      </c>
      <c r="E1009" s="11" t="s">
        <v>107</v>
      </c>
      <c r="F1009" s="11" t="str">
        <f t="shared" si="15"/>
        <v>No</v>
      </c>
    </row>
    <row r="1010" spans="1:6" x14ac:dyDescent="0.3">
      <c r="A1010" s="9" t="s">
        <v>20</v>
      </c>
      <c r="B1010" s="9" t="s">
        <v>78</v>
      </c>
      <c r="C1010" s="9" t="s">
        <v>95</v>
      </c>
      <c r="D1010" s="9">
        <v>0</v>
      </c>
      <c r="E1010" s="11" t="s">
        <v>105</v>
      </c>
      <c r="F1010" s="11" t="str">
        <f t="shared" si="15"/>
        <v>Yes</v>
      </c>
    </row>
    <row r="1011" spans="1:6" x14ac:dyDescent="0.3">
      <c r="A1011" s="9" t="s">
        <v>20</v>
      </c>
      <c r="B1011" s="9" t="s">
        <v>62</v>
      </c>
      <c r="C1011" s="9" t="s">
        <v>101</v>
      </c>
      <c r="D1011" s="9">
        <v>37</v>
      </c>
      <c r="E1011" s="11" t="s">
        <v>106</v>
      </c>
      <c r="F1011" s="11" t="str">
        <f t="shared" si="15"/>
        <v>Yes</v>
      </c>
    </row>
    <row r="1012" spans="1:6" x14ac:dyDescent="0.3">
      <c r="A1012" s="9" t="s">
        <v>20</v>
      </c>
      <c r="B1012" s="9" t="s">
        <v>63</v>
      </c>
      <c r="C1012" s="9" t="s">
        <v>101</v>
      </c>
      <c r="D1012" s="9">
        <v>27</v>
      </c>
      <c r="E1012" s="11" t="s">
        <v>107</v>
      </c>
      <c r="F1012" s="11" t="str">
        <f t="shared" si="15"/>
        <v>No</v>
      </c>
    </row>
    <row r="1013" spans="1:6" x14ac:dyDescent="0.3">
      <c r="A1013" s="9" t="s">
        <v>20</v>
      </c>
      <c r="B1013" s="9" t="s">
        <v>64</v>
      </c>
      <c r="C1013" s="9" t="s">
        <v>101</v>
      </c>
      <c r="D1013" s="9">
        <v>10</v>
      </c>
      <c r="E1013" s="11" t="s">
        <v>107</v>
      </c>
      <c r="F1013" s="11" t="str">
        <f t="shared" si="15"/>
        <v>No</v>
      </c>
    </row>
    <row r="1014" spans="1:6" x14ac:dyDescent="0.3">
      <c r="A1014" s="9" t="s">
        <v>20</v>
      </c>
      <c r="B1014" s="9" t="s">
        <v>77</v>
      </c>
      <c r="C1014" s="9" t="s">
        <v>102</v>
      </c>
      <c r="D1014" s="9">
        <v>782</v>
      </c>
      <c r="E1014" s="11" t="s">
        <v>106</v>
      </c>
      <c r="F1014" s="11" t="str">
        <f t="shared" si="15"/>
        <v>Yes</v>
      </c>
    </row>
    <row r="1015" spans="1:6" x14ac:dyDescent="0.3">
      <c r="A1015" s="9" t="s">
        <v>20</v>
      </c>
      <c r="B1015" s="9" t="s">
        <v>65</v>
      </c>
      <c r="C1015" s="9" t="s">
        <v>102</v>
      </c>
      <c r="D1015" s="9">
        <v>616</v>
      </c>
      <c r="E1015" s="11" t="s">
        <v>107</v>
      </c>
      <c r="F1015" s="11" t="str">
        <f t="shared" si="15"/>
        <v>No</v>
      </c>
    </row>
    <row r="1016" spans="1:6" x14ac:dyDescent="0.3">
      <c r="A1016" s="9" t="s">
        <v>20</v>
      </c>
      <c r="B1016" s="9" t="s">
        <v>66</v>
      </c>
      <c r="C1016" s="9" t="s">
        <v>102</v>
      </c>
      <c r="D1016" s="9">
        <v>152</v>
      </c>
      <c r="E1016" s="11" t="s">
        <v>107</v>
      </c>
      <c r="F1016" s="11" t="str">
        <f t="shared" si="15"/>
        <v>No</v>
      </c>
    </row>
    <row r="1017" spans="1:6" x14ac:dyDescent="0.3">
      <c r="A1017" s="9" t="s">
        <v>20</v>
      </c>
      <c r="B1017" s="9" t="s">
        <v>67</v>
      </c>
      <c r="C1017" s="9" t="s">
        <v>102</v>
      </c>
      <c r="D1017" s="9">
        <v>2</v>
      </c>
      <c r="E1017" s="11" t="s">
        <v>107</v>
      </c>
      <c r="F1017" s="11" t="str">
        <f t="shared" si="15"/>
        <v>No</v>
      </c>
    </row>
    <row r="1018" spans="1:6" x14ac:dyDescent="0.3">
      <c r="A1018" s="9" t="s">
        <v>20</v>
      </c>
      <c r="B1018" s="9" t="s">
        <v>68</v>
      </c>
      <c r="C1018" s="9" t="s">
        <v>102</v>
      </c>
      <c r="D1018" s="9">
        <v>11</v>
      </c>
      <c r="E1018" s="11" t="s">
        <v>107</v>
      </c>
      <c r="F1018" s="11" t="str">
        <f t="shared" si="15"/>
        <v>No</v>
      </c>
    </row>
    <row r="1019" spans="1:6" x14ac:dyDescent="0.3">
      <c r="A1019" s="9" t="s">
        <v>20</v>
      </c>
      <c r="B1019" s="9" t="s">
        <v>69</v>
      </c>
      <c r="C1019" s="9" t="s">
        <v>102</v>
      </c>
      <c r="D1019" s="9">
        <v>1</v>
      </c>
      <c r="E1019" s="11" t="s">
        <v>107</v>
      </c>
      <c r="F1019" s="11" t="str">
        <f t="shared" si="15"/>
        <v>No</v>
      </c>
    </row>
    <row r="1020" spans="1:6" x14ac:dyDescent="0.3">
      <c r="A1020" s="9" t="s">
        <v>20</v>
      </c>
      <c r="B1020" s="9" t="s">
        <v>70</v>
      </c>
      <c r="C1020" s="9" t="s">
        <v>102</v>
      </c>
      <c r="D1020" s="9">
        <v>0</v>
      </c>
      <c r="E1020" s="11" t="s">
        <v>107</v>
      </c>
      <c r="F1020" s="11" t="str">
        <f t="shared" si="15"/>
        <v>No</v>
      </c>
    </row>
    <row r="1021" spans="1:6" x14ac:dyDescent="0.3">
      <c r="A1021" s="9" t="s">
        <v>20</v>
      </c>
      <c r="B1021" s="9" t="s">
        <v>75</v>
      </c>
      <c r="C1021" s="9" t="s">
        <v>103</v>
      </c>
      <c r="D1021" s="9">
        <v>0</v>
      </c>
      <c r="E1021" s="11" t="s">
        <v>105</v>
      </c>
      <c r="F1021" s="11" t="str">
        <f t="shared" si="15"/>
        <v>Yes</v>
      </c>
    </row>
    <row r="1022" spans="1:6" x14ac:dyDescent="0.3">
      <c r="A1022" s="9" t="s">
        <v>21</v>
      </c>
      <c r="B1022" s="9" t="s">
        <v>88</v>
      </c>
      <c r="C1022" s="9" t="s">
        <v>92</v>
      </c>
      <c r="D1022" s="9">
        <v>20</v>
      </c>
      <c r="E1022" s="11" t="s">
        <v>105</v>
      </c>
      <c r="F1022" s="11" t="str">
        <f t="shared" si="15"/>
        <v>Yes</v>
      </c>
    </row>
    <row r="1023" spans="1:6" x14ac:dyDescent="0.3">
      <c r="A1023" s="9" t="s">
        <v>21</v>
      </c>
      <c r="B1023" s="9" t="s">
        <v>38</v>
      </c>
      <c r="C1023" s="9" t="s">
        <v>93</v>
      </c>
      <c r="D1023" s="9">
        <v>428</v>
      </c>
      <c r="E1023" s="11" t="s">
        <v>105</v>
      </c>
      <c r="F1023" s="11" t="str">
        <f t="shared" si="15"/>
        <v>Yes</v>
      </c>
    </row>
    <row r="1024" spans="1:6" x14ac:dyDescent="0.3">
      <c r="A1024" s="9" t="s">
        <v>21</v>
      </c>
      <c r="B1024" s="9" t="s">
        <v>87</v>
      </c>
      <c r="C1024" s="9" t="s">
        <v>94</v>
      </c>
      <c r="D1024" s="9">
        <v>165</v>
      </c>
      <c r="E1024" s="11" t="s">
        <v>105</v>
      </c>
      <c r="F1024" s="11" t="str">
        <f t="shared" si="15"/>
        <v>Yes</v>
      </c>
    </row>
    <row r="1025" spans="1:6" x14ac:dyDescent="0.3">
      <c r="A1025" s="9" t="s">
        <v>21</v>
      </c>
      <c r="B1025" s="9" t="s">
        <v>86</v>
      </c>
      <c r="C1025" s="9" t="s">
        <v>86</v>
      </c>
      <c r="D1025" s="9">
        <v>4</v>
      </c>
      <c r="E1025" s="11" t="s">
        <v>105</v>
      </c>
      <c r="F1025" s="11" t="str">
        <f t="shared" si="15"/>
        <v>Yes</v>
      </c>
    </row>
    <row r="1026" spans="1:6" x14ac:dyDescent="0.3">
      <c r="A1026" s="9" t="s">
        <v>21</v>
      </c>
      <c r="B1026" s="9" t="s">
        <v>85</v>
      </c>
      <c r="C1026" s="9" t="s">
        <v>85</v>
      </c>
      <c r="D1026" s="9">
        <v>4</v>
      </c>
      <c r="E1026" s="11" t="s">
        <v>105</v>
      </c>
      <c r="F1026" s="11" t="str">
        <f t="shared" ref="F1026:F1089" si="16">IF(E1026="Standalone","Yes",IF(AND(E1026="Total",OR(B1026="Kidnapping &amp; Abduction (Total)",B1026="Rape (Total)",B1026="Attempt to Rape (Total)",B1026="Assault to Outrage Modesty (Total)",B1026="Insult to Modesty (Total)",B1026="Immoral Traffic (Prevention) Act (Total)",B1026="Women-Centric Cyber Crime (Total)",B1026="POCSO (Protection of Children from Sexual Offences Act) (Total)")),"Yes","No"))</f>
        <v>Yes</v>
      </c>
    </row>
    <row r="1027" spans="1:6" x14ac:dyDescent="0.3">
      <c r="A1027" s="9" t="s">
        <v>21</v>
      </c>
      <c r="B1027" s="9" t="s">
        <v>84</v>
      </c>
      <c r="C1027" s="9" t="s">
        <v>85</v>
      </c>
      <c r="D1027" s="9">
        <v>1</v>
      </c>
      <c r="E1027" s="11" t="s">
        <v>105</v>
      </c>
      <c r="F1027" s="11" t="str">
        <f t="shared" si="16"/>
        <v>Yes</v>
      </c>
    </row>
    <row r="1028" spans="1:6" x14ac:dyDescent="0.3">
      <c r="A1028" s="9" t="s">
        <v>21</v>
      </c>
      <c r="B1028" s="9" t="s">
        <v>83</v>
      </c>
      <c r="C1028" s="9" t="s">
        <v>95</v>
      </c>
      <c r="D1028" s="9">
        <v>18033</v>
      </c>
      <c r="E1028" s="11" t="s">
        <v>105</v>
      </c>
      <c r="F1028" s="11" t="str">
        <f t="shared" si="16"/>
        <v>Yes</v>
      </c>
    </row>
    <row r="1029" spans="1:6" x14ac:dyDescent="0.3">
      <c r="A1029" s="9" t="s">
        <v>21</v>
      </c>
      <c r="B1029" s="9" t="s">
        <v>39</v>
      </c>
      <c r="C1029" s="9" t="s">
        <v>40</v>
      </c>
      <c r="D1029" s="9">
        <v>7522</v>
      </c>
      <c r="E1029" s="11" t="s">
        <v>106</v>
      </c>
      <c r="F1029" s="11" t="str">
        <f t="shared" si="16"/>
        <v>Yes</v>
      </c>
    </row>
    <row r="1030" spans="1:6" x14ac:dyDescent="0.3">
      <c r="A1030" s="9" t="s">
        <v>21</v>
      </c>
      <c r="B1030" s="9" t="s">
        <v>40</v>
      </c>
      <c r="C1030" s="9" t="s">
        <v>40</v>
      </c>
      <c r="D1030" s="9">
        <v>4528</v>
      </c>
      <c r="E1030" s="11" t="s">
        <v>107</v>
      </c>
      <c r="F1030" s="11" t="str">
        <f t="shared" si="16"/>
        <v>No</v>
      </c>
    </row>
    <row r="1031" spans="1:6" x14ac:dyDescent="0.3">
      <c r="A1031" s="9" t="s">
        <v>21</v>
      </c>
      <c r="B1031" s="9" t="s">
        <v>41</v>
      </c>
      <c r="C1031" s="9" t="s">
        <v>40</v>
      </c>
      <c r="D1031" s="9">
        <v>0</v>
      </c>
      <c r="E1031" s="11" t="s">
        <v>107</v>
      </c>
      <c r="F1031" s="11" t="str">
        <f t="shared" si="16"/>
        <v>No</v>
      </c>
    </row>
    <row r="1032" spans="1:6" x14ac:dyDescent="0.3">
      <c r="A1032" s="9" t="s">
        <v>21</v>
      </c>
      <c r="B1032" s="9" t="s">
        <v>42</v>
      </c>
      <c r="C1032" s="9" t="s">
        <v>40</v>
      </c>
      <c r="D1032" s="9">
        <v>11</v>
      </c>
      <c r="E1032" s="11" t="s">
        <v>107</v>
      </c>
      <c r="F1032" s="11" t="str">
        <f t="shared" si="16"/>
        <v>No</v>
      </c>
    </row>
    <row r="1033" spans="1:6" x14ac:dyDescent="0.3">
      <c r="A1033" s="9" t="s">
        <v>21</v>
      </c>
      <c r="B1033" s="9" t="s">
        <v>43</v>
      </c>
      <c r="C1033" s="9" t="s">
        <v>40</v>
      </c>
      <c r="D1033" s="9">
        <v>1546</v>
      </c>
      <c r="E1033" s="11" t="s">
        <v>106</v>
      </c>
      <c r="F1033" s="11" t="str">
        <f t="shared" si="16"/>
        <v>No</v>
      </c>
    </row>
    <row r="1034" spans="1:6" x14ac:dyDescent="0.3">
      <c r="A1034" s="9" t="s">
        <v>21</v>
      </c>
      <c r="B1034" s="9" t="s">
        <v>44</v>
      </c>
      <c r="C1034" s="9" t="s">
        <v>40</v>
      </c>
      <c r="D1034" s="9">
        <v>884</v>
      </c>
      <c r="E1034" s="11" t="s">
        <v>107</v>
      </c>
      <c r="F1034" s="11" t="str">
        <f t="shared" si="16"/>
        <v>No</v>
      </c>
    </row>
    <row r="1035" spans="1:6" x14ac:dyDescent="0.3">
      <c r="A1035" s="9" t="s">
        <v>21</v>
      </c>
      <c r="B1035" s="9" t="s">
        <v>45</v>
      </c>
      <c r="C1035" s="9" t="s">
        <v>40</v>
      </c>
      <c r="D1035" s="9">
        <v>662</v>
      </c>
      <c r="E1035" s="11" t="s">
        <v>107</v>
      </c>
      <c r="F1035" s="11" t="str">
        <f t="shared" si="16"/>
        <v>No</v>
      </c>
    </row>
    <row r="1036" spans="1:6" x14ac:dyDescent="0.3">
      <c r="A1036" s="9" t="s">
        <v>21</v>
      </c>
      <c r="B1036" s="9" t="s">
        <v>71</v>
      </c>
      <c r="C1036" s="9" t="s">
        <v>40</v>
      </c>
      <c r="D1036" s="9">
        <v>10</v>
      </c>
      <c r="E1036" s="11" t="s">
        <v>105</v>
      </c>
      <c r="F1036" s="11" t="str">
        <f t="shared" si="16"/>
        <v>Yes</v>
      </c>
    </row>
    <row r="1037" spans="1:6" x14ac:dyDescent="0.3">
      <c r="A1037" s="9" t="s">
        <v>21</v>
      </c>
      <c r="B1037" s="9" t="s">
        <v>72</v>
      </c>
      <c r="C1037" s="9" t="s">
        <v>40</v>
      </c>
      <c r="D1037" s="9">
        <v>0</v>
      </c>
      <c r="E1037" s="11" t="s">
        <v>105</v>
      </c>
      <c r="F1037" s="11" t="str">
        <f t="shared" si="16"/>
        <v>Yes</v>
      </c>
    </row>
    <row r="1038" spans="1:6" x14ac:dyDescent="0.3">
      <c r="A1038" s="9" t="s">
        <v>21</v>
      </c>
      <c r="B1038" s="9" t="s">
        <v>82</v>
      </c>
      <c r="C1038" s="9" t="s">
        <v>40</v>
      </c>
      <c r="D1038" s="9">
        <v>1427</v>
      </c>
      <c r="E1038" s="11" t="s">
        <v>105</v>
      </c>
      <c r="F1038" s="11" t="str">
        <f t="shared" si="16"/>
        <v>Yes</v>
      </c>
    </row>
    <row r="1039" spans="1:6" x14ac:dyDescent="0.3">
      <c r="A1039" s="9" t="s">
        <v>21</v>
      </c>
      <c r="B1039" s="9" t="s">
        <v>81</v>
      </c>
      <c r="C1039" s="9" t="s">
        <v>81</v>
      </c>
      <c r="D1039" s="9">
        <v>8</v>
      </c>
      <c r="E1039" s="11" t="s">
        <v>105</v>
      </c>
      <c r="F1039" s="11" t="str">
        <f t="shared" si="16"/>
        <v>Yes</v>
      </c>
    </row>
    <row r="1040" spans="1:6" x14ac:dyDescent="0.3">
      <c r="A1040" s="9" t="s">
        <v>21</v>
      </c>
      <c r="B1040" s="9" t="s">
        <v>73</v>
      </c>
      <c r="C1040" s="9" t="s">
        <v>81</v>
      </c>
      <c r="D1040" s="9">
        <v>0</v>
      </c>
      <c r="E1040" s="11" t="s">
        <v>105</v>
      </c>
      <c r="F1040" s="11" t="str">
        <f t="shared" si="16"/>
        <v>Yes</v>
      </c>
    </row>
    <row r="1041" spans="1:6" x14ac:dyDescent="0.3">
      <c r="A1041" s="9" t="s">
        <v>21</v>
      </c>
      <c r="B1041" s="9" t="s">
        <v>80</v>
      </c>
      <c r="C1041" s="9" t="s">
        <v>81</v>
      </c>
      <c r="D1041" s="9">
        <v>0</v>
      </c>
      <c r="E1041" s="11" t="s">
        <v>105</v>
      </c>
      <c r="F1041" s="11" t="str">
        <f t="shared" si="16"/>
        <v>Yes</v>
      </c>
    </row>
    <row r="1042" spans="1:6" x14ac:dyDescent="0.3">
      <c r="A1042" s="9" t="s">
        <v>21</v>
      </c>
      <c r="B1042" s="9" t="s">
        <v>79</v>
      </c>
      <c r="C1042" s="9" t="s">
        <v>96</v>
      </c>
      <c r="D1042" s="9">
        <v>5078</v>
      </c>
      <c r="E1042" s="11" t="s">
        <v>106</v>
      </c>
      <c r="F1042" s="11" t="str">
        <f t="shared" si="16"/>
        <v>Yes</v>
      </c>
    </row>
    <row r="1043" spans="1:6" x14ac:dyDescent="0.3">
      <c r="A1043" s="9" t="s">
        <v>21</v>
      </c>
      <c r="B1043" s="9" t="s">
        <v>46</v>
      </c>
      <c r="C1043" s="9" t="s">
        <v>96</v>
      </c>
      <c r="D1043" s="9">
        <v>5078</v>
      </c>
      <c r="E1043" s="11" t="s">
        <v>107</v>
      </c>
      <c r="F1043" s="11" t="str">
        <f t="shared" si="16"/>
        <v>No</v>
      </c>
    </row>
    <row r="1044" spans="1:6" x14ac:dyDescent="0.3">
      <c r="A1044" s="9" t="s">
        <v>21</v>
      </c>
      <c r="B1044" s="9" t="s">
        <v>47</v>
      </c>
      <c r="C1044" s="9" t="s">
        <v>96</v>
      </c>
      <c r="D1044" s="9">
        <v>0</v>
      </c>
      <c r="E1044" s="11" t="s">
        <v>107</v>
      </c>
      <c r="F1044" s="11" t="str">
        <f t="shared" si="16"/>
        <v>No</v>
      </c>
    </row>
    <row r="1045" spans="1:6" x14ac:dyDescent="0.3">
      <c r="A1045" s="9" t="s">
        <v>21</v>
      </c>
      <c r="B1045" s="9" t="s">
        <v>48</v>
      </c>
      <c r="C1045" s="9" t="s">
        <v>97</v>
      </c>
      <c r="D1045" s="9">
        <v>845</v>
      </c>
      <c r="E1045" s="11" t="s">
        <v>106</v>
      </c>
      <c r="F1045" s="11" t="str">
        <f t="shared" si="16"/>
        <v>Yes</v>
      </c>
    </row>
    <row r="1046" spans="1:6" x14ac:dyDescent="0.3">
      <c r="A1046" s="9" t="s">
        <v>21</v>
      </c>
      <c r="B1046" s="9" t="s">
        <v>49</v>
      </c>
      <c r="C1046" s="9" t="s">
        <v>97</v>
      </c>
      <c r="D1046" s="9">
        <v>845</v>
      </c>
      <c r="E1046" s="11" t="s">
        <v>107</v>
      </c>
      <c r="F1046" s="11" t="str">
        <f t="shared" si="16"/>
        <v>No</v>
      </c>
    </row>
    <row r="1047" spans="1:6" x14ac:dyDescent="0.3">
      <c r="A1047" s="9" t="s">
        <v>21</v>
      </c>
      <c r="B1047" s="9" t="s">
        <v>50</v>
      </c>
      <c r="C1047" s="9" t="s">
        <v>97</v>
      </c>
      <c r="D1047" s="9">
        <v>0</v>
      </c>
      <c r="E1047" s="11" t="s">
        <v>107</v>
      </c>
      <c r="F1047" s="11" t="str">
        <f t="shared" si="16"/>
        <v>No</v>
      </c>
    </row>
    <row r="1048" spans="1:6" x14ac:dyDescent="0.3">
      <c r="A1048" s="9" t="s">
        <v>21</v>
      </c>
      <c r="B1048" s="9" t="s">
        <v>51</v>
      </c>
      <c r="C1048" s="9" t="s">
        <v>99</v>
      </c>
      <c r="D1048" s="9">
        <v>9456</v>
      </c>
      <c r="E1048" s="11" t="s">
        <v>106</v>
      </c>
      <c r="F1048" s="11" t="str">
        <f t="shared" si="16"/>
        <v>Yes</v>
      </c>
    </row>
    <row r="1049" spans="1:6" x14ac:dyDescent="0.3">
      <c r="A1049" s="9" t="s">
        <v>21</v>
      </c>
      <c r="B1049" s="9" t="s">
        <v>52</v>
      </c>
      <c r="C1049" s="9" t="s">
        <v>99</v>
      </c>
      <c r="D1049" s="9">
        <v>9456</v>
      </c>
      <c r="E1049" s="11" t="s">
        <v>107</v>
      </c>
      <c r="F1049" s="11" t="str">
        <f t="shared" si="16"/>
        <v>No</v>
      </c>
    </row>
    <row r="1050" spans="1:6" x14ac:dyDescent="0.3">
      <c r="A1050" s="9" t="s">
        <v>21</v>
      </c>
      <c r="B1050" s="9" t="s">
        <v>53</v>
      </c>
      <c r="C1050" s="9" t="s">
        <v>99</v>
      </c>
      <c r="D1050" s="9">
        <v>0</v>
      </c>
      <c r="E1050" s="11" t="s">
        <v>107</v>
      </c>
      <c r="F1050" s="11" t="str">
        <f t="shared" si="16"/>
        <v>No</v>
      </c>
    </row>
    <row r="1051" spans="1:6" x14ac:dyDescent="0.3">
      <c r="A1051" s="9" t="s">
        <v>21</v>
      </c>
      <c r="B1051" s="9" t="s">
        <v>54</v>
      </c>
      <c r="C1051" s="9" t="s">
        <v>98</v>
      </c>
      <c r="D1051" s="9">
        <v>81</v>
      </c>
      <c r="E1051" s="11" t="s">
        <v>106</v>
      </c>
      <c r="F1051" s="11" t="str">
        <f t="shared" si="16"/>
        <v>Yes</v>
      </c>
    </row>
    <row r="1052" spans="1:6" x14ac:dyDescent="0.3">
      <c r="A1052" s="9" t="s">
        <v>21</v>
      </c>
      <c r="B1052" s="9" t="s">
        <v>55</v>
      </c>
      <c r="C1052" s="9" t="s">
        <v>98</v>
      </c>
      <c r="D1052" s="9">
        <v>81</v>
      </c>
      <c r="E1052" s="11" t="s">
        <v>107</v>
      </c>
      <c r="F1052" s="11" t="str">
        <f t="shared" si="16"/>
        <v>No</v>
      </c>
    </row>
    <row r="1053" spans="1:6" x14ac:dyDescent="0.3">
      <c r="A1053" s="9" t="s">
        <v>21</v>
      </c>
      <c r="B1053" s="9" t="s">
        <v>56</v>
      </c>
      <c r="C1053" s="9" t="s">
        <v>98</v>
      </c>
      <c r="D1053" s="9">
        <v>0</v>
      </c>
      <c r="E1053" s="11" t="s">
        <v>107</v>
      </c>
      <c r="F1053" s="11" t="str">
        <f t="shared" si="16"/>
        <v>No</v>
      </c>
    </row>
    <row r="1054" spans="1:6" x14ac:dyDescent="0.3">
      <c r="A1054" s="9" t="s">
        <v>21</v>
      </c>
      <c r="B1054" s="9" t="s">
        <v>74</v>
      </c>
      <c r="C1054" s="9" t="s">
        <v>74</v>
      </c>
      <c r="D1054" s="9">
        <v>1</v>
      </c>
      <c r="E1054" s="11" t="s">
        <v>105</v>
      </c>
      <c r="F1054" s="11" t="str">
        <f t="shared" si="16"/>
        <v>Yes</v>
      </c>
    </row>
    <row r="1055" spans="1:6" x14ac:dyDescent="0.3">
      <c r="A1055" s="9" t="s">
        <v>21</v>
      </c>
      <c r="B1055" s="9" t="s">
        <v>57</v>
      </c>
      <c r="C1055" s="9" t="s">
        <v>100</v>
      </c>
      <c r="D1055" s="9">
        <v>16</v>
      </c>
      <c r="E1055" s="11" t="s">
        <v>106</v>
      </c>
      <c r="F1055" s="11" t="str">
        <f t="shared" si="16"/>
        <v>Yes</v>
      </c>
    </row>
    <row r="1056" spans="1:6" x14ac:dyDescent="0.3">
      <c r="A1056" s="9" t="s">
        <v>21</v>
      </c>
      <c r="B1056" s="9" t="s">
        <v>76</v>
      </c>
      <c r="C1056" s="9" t="s">
        <v>100</v>
      </c>
      <c r="D1056" s="9">
        <v>6</v>
      </c>
      <c r="E1056" s="11" t="s">
        <v>107</v>
      </c>
      <c r="F1056" s="11" t="str">
        <f t="shared" si="16"/>
        <v>No</v>
      </c>
    </row>
    <row r="1057" spans="1:6" x14ac:dyDescent="0.3">
      <c r="A1057" s="9" t="s">
        <v>21</v>
      </c>
      <c r="B1057" s="9" t="s">
        <v>58</v>
      </c>
      <c r="C1057" s="9" t="s">
        <v>100</v>
      </c>
      <c r="D1057" s="9">
        <v>0</v>
      </c>
      <c r="E1057" s="11" t="s">
        <v>107</v>
      </c>
      <c r="F1057" s="11" t="str">
        <f t="shared" si="16"/>
        <v>No</v>
      </c>
    </row>
    <row r="1058" spans="1:6" x14ac:dyDescent="0.3">
      <c r="A1058" s="9" t="s">
        <v>21</v>
      </c>
      <c r="B1058" s="9" t="s">
        <v>59</v>
      </c>
      <c r="C1058" s="9" t="s">
        <v>100</v>
      </c>
      <c r="D1058" s="9">
        <v>3</v>
      </c>
      <c r="E1058" s="11" t="s">
        <v>107</v>
      </c>
      <c r="F1058" s="11" t="str">
        <f t="shared" si="16"/>
        <v>No</v>
      </c>
    </row>
    <row r="1059" spans="1:6" x14ac:dyDescent="0.3">
      <c r="A1059" s="9" t="s">
        <v>21</v>
      </c>
      <c r="B1059" s="9" t="s">
        <v>60</v>
      </c>
      <c r="C1059" s="9" t="s">
        <v>100</v>
      </c>
      <c r="D1059" s="9">
        <v>0</v>
      </c>
      <c r="E1059" s="11" t="s">
        <v>107</v>
      </c>
      <c r="F1059" s="11" t="str">
        <f t="shared" si="16"/>
        <v>No</v>
      </c>
    </row>
    <row r="1060" spans="1:6" x14ac:dyDescent="0.3">
      <c r="A1060" s="9" t="s">
        <v>21</v>
      </c>
      <c r="B1060" s="9" t="s">
        <v>61</v>
      </c>
      <c r="C1060" s="9" t="s">
        <v>100</v>
      </c>
      <c r="D1060" s="9">
        <v>7</v>
      </c>
      <c r="E1060" s="11" t="s">
        <v>107</v>
      </c>
      <c r="F1060" s="11" t="str">
        <f t="shared" si="16"/>
        <v>No</v>
      </c>
    </row>
    <row r="1061" spans="1:6" x14ac:dyDescent="0.3">
      <c r="A1061" s="9" t="s">
        <v>21</v>
      </c>
      <c r="B1061" s="9" t="s">
        <v>78</v>
      </c>
      <c r="C1061" s="9" t="s">
        <v>95</v>
      </c>
      <c r="D1061" s="9">
        <v>1</v>
      </c>
      <c r="E1061" s="11" t="s">
        <v>105</v>
      </c>
      <c r="F1061" s="11" t="str">
        <f t="shared" si="16"/>
        <v>Yes</v>
      </c>
    </row>
    <row r="1062" spans="1:6" x14ac:dyDescent="0.3">
      <c r="A1062" s="9" t="s">
        <v>21</v>
      </c>
      <c r="B1062" s="9" t="s">
        <v>62</v>
      </c>
      <c r="C1062" s="9" t="s">
        <v>101</v>
      </c>
      <c r="D1062" s="9">
        <v>225</v>
      </c>
      <c r="E1062" s="11" t="s">
        <v>106</v>
      </c>
      <c r="F1062" s="11" t="str">
        <f t="shared" si="16"/>
        <v>Yes</v>
      </c>
    </row>
    <row r="1063" spans="1:6" x14ac:dyDescent="0.3">
      <c r="A1063" s="9" t="s">
        <v>21</v>
      </c>
      <c r="B1063" s="9" t="s">
        <v>63</v>
      </c>
      <c r="C1063" s="9" t="s">
        <v>101</v>
      </c>
      <c r="D1063" s="9">
        <v>212</v>
      </c>
      <c r="E1063" s="11" t="s">
        <v>107</v>
      </c>
      <c r="F1063" s="11" t="str">
        <f t="shared" si="16"/>
        <v>No</v>
      </c>
    </row>
    <row r="1064" spans="1:6" x14ac:dyDescent="0.3">
      <c r="A1064" s="9" t="s">
        <v>21</v>
      </c>
      <c r="B1064" s="9" t="s">
        <v>64</v>
      </c>
      <c r="C1064" s="9" t="s">
        <v>101</v>
      </c>
      <c r="D1064" s="9">
        <v>13</v>
      </c>
      <c r="E1064" s="11" t="s">
        <v>107</v>
      </c>
      <c r="F1064" s="11" t="str">
        <f t="shared" si="16"/>
        <v>No</v>
      </c>
    </row>
    <row r="1065" spans="1:6" x14ac:dyDescent="0.3">
      <c r="A1065" s="9" t="s">
        <v>21</v>
      </c>
      <c r="B1065" s="9" t="s">
        <v>77</v>
      </c>
      <c r="C1065" s="9" t="s">
        <v>102</v>
      </c>
      <c r="D1065" s="9">
        <v>3556</v>
      </c>
      <c r="E1065" s="11" t="s">
        <v>106</v>
      </c>
      <c r="F1065" s="11" t="str">
        <f t="shared" si="16"/>
        <v>Yes</v>
      </c>
    </row>
    <row r="1066" spans="1:6" x14ac:dyDescent="0.3">
      <c r="A1066" s="9" t="s">
        <v>21</v>
      </c>
      <c r="B1066" s="9" t="s">
        <v>65</v>
      </c>
      <c r="C1066" s="9" t="s">
        <v>102</v>
      </c>
      <c r="D1066" s="9">
        <v>1865</v>
      </c>
      <c r="E1066" s="11" t="s">
        <v>107</v>
      </c>
      <c r="F1066" s="11" t="str">
        <f t="shared" si="16"/>
        <v>No</v>
      </c>
    </row>
    <row r="1067" spans="1:6" x14ac:dyDescent="0.3">
      <c r="A1067" s="9" t="s">
        <v>21</v>
      </c>
      <c r="B1067" s="9" t="s">
        <v>66</v>
      </c>
      <c r="C1067" s="9" t="s">
        <v>102</v>
      </c>
      <c r="D1067" s="9">
        <v>1372</v>
      </c>
      <c r="E1067" s="11" t="s">
        <v>107</v>
      </c>
      <c r="F1067" s="11" t="str">
        <f t="shared" si="16"/>
        <v>No</v>
      </c>
    </row>
    <row r="1068" spans="1:6" x14ac:dyDescent="0.3">
      <c r="A1068" s="9" t="s">
        <v>21</v>
      </c>
      <c r="B1068" s="9" t="s">
        <v>67</v>
      </c>
      <c r="C1068" s="9" t="s">
        <v>102</v>
      </c>
      <c r="D1068" s="9">
        <v>67</v>
      </c>
      <c r="E1068" s="11" t="s">
        <v>107</v>
      </c>
      <c r="F1068" s="11" t="str">
        <f t="shared" si="16"/>
        <v>No</v>
      </c>
    </row>
    <row r="1069" spans="1:6" x14ac:dyDescent="0.3">
      <c r="A1069" s="9" t="s">
        <v>21</v>
      </c>
      <c r="B1069" s="9" t="s">
        <v>68</v>
      </c>
      <c r="C1069" s="9" t="s">
        <v>102</v>
      </c>
      <c r="D1069" s="9">
        <v>68</v>
      </c>
      <c r="E1069" s="11" t="s">
        <v>107</v>
      </c>
      <c r="F1069" s="11" t="str">
        <f t="shared" si="16"/>
        <v>No</v>
      </c>
    </row>
    <row r="1070" spans="1:6" x14ac:dyDescent="0.3">
      <c r="A1070" s="9" t="s">
        <v>21</v>
      </c>
      <c r="B1070" s="9" t="s">
        <v>69</v>
      </c>
      <c r="C1070" s="9" t="s">
        <v>102</v>
      </c>
      <c r="D1070" s="9">
        <v>183</v>
      </c>
      <c r="E1070" s="11" t="s">
        <v>107</v>
      </c>
      <c r="F1070" s="11" t="str">
        <f t="shared" si="16"/>
        <v>No</v>
      </c>
    </row>
    <row r="1071" spans="1:6" x14ac:dyDescent="0.3">
      <c r="A1071" s="9" t="s">
        <v>21</v>
      </c>
      <c r="B1071" s="9" t="s">
        <v>70</v>
      </c>
      <c r="C1071" s="9" t="s">
        <v>102</v>
      </c>
      <c r="D1071" s="9">
        <v>1</v>
      </c>
      <c r="E1071" s="11" t="s">
        <v>107</v>
      </c>
      <c r="F1071" s="11" t="str">
        <f t="shared" si="16"/>
        <v>No</v>
      </c>
    </row>
    <row r="1072" spans="1:6" x14ac:dyDescent="0.3">
      <c r="A1072" s="9" t="s">
        <v>21</v>
      </c>
      <c r="B1072" s="9" t="s">
        <v>75</v>
      </c>
      <c r="C1072" s="9" t="s">
        <v>103</v>
      </c>
      <c r="D1072" s="9">
        <v>6</v>
      </c>
      <c r="E1072" s="11" t="s">
        <v>105</v>
      </c>
      <c r="F1072" s="11" t="str">
        <f t="shared" si="16"/>
        <v>Yes</v>
      </c>
    </row>
    <row r="1073" spans="1:6" x14ac:dyDescent="0.3">
      <c r="A1073" s="9" t="s">
        <v>22</v>
      </c>
      <c r="B1073" s="9" t="s">
        <v>88</v>
      </c>
      <c r="C1073" s="9" t="s">
        <v>92</v>
      </c>
      <c r="D1073" s="9">
        <v>1</v>
      </c>
      <c r="E1073" s="11" t="s">
        <v>105</v>
      </c>
      <c r="F1073" s="11" t="str">
        <f t="shared" si="16"/>
        <v>Yes</v>
      </c>
    </row>
    <row r="1074" spans="1:6" x14ac:dyDescent="0.3">
      <c r="A1074" s="9" t="s">
        <v>22</v>
      </c>
      <c r="B1074" s="9" t="s">
        <v>38</v>
      </c>
      <c r="C1074" s="9" t="s">
        <v>93</v>
      </c>
      <c r="D1074" s="9">
        <v>0</v>
      </c>
      <c r="E1074" s="11" t="s">
        <v>105</v>
      </c>
      <c r="F1074" s="11" t="str">
        <f t="shared" si="16"/>
        <v>Yes</v>
      </c>
    </row>
    <row r="1075" spans="1:6" x14ac:dyDescent="0.3">
      <c r="A1075" s="9" t="s">
        <v>22</v>
      </c>
      <c r="B1075" s="9" t="s">
        <v>87</v>
      </c>
      <c r="C1075" s="9" t="s">
        <v>94</v>
      </c>
      <c r="D1075" s="9">
        <v>2</v>
      </c>
      <c r="E1075" s="11" t="s">
        <v>105</v>
      </c>
      <c r="F1075" s="11" t="str">
        <f t="shared" si="16"/>
        <v>Yes</v>
      </c>
    </row>
    <row r="1076" spans="1:6" x14ac:dyDescent="0.3">
      <c r="A1076" s="9" t="s">
        <v>22</v>
      </c>
      <c r="B1076" s="9" t="s">
        <v>86</v>
      </c>
      <c r="C1076" s="9" t="s">
        <v>86</v>
      </c>
      <c r="D1076" s="9">
        <v>0</v>
      </c>
      <c r="E1076" s="11" t="s">
        <v>105</v>
      </c>
      <c r="F1076" s="11" t="str">
        <f t="shared" si="16"/>
        <v>Yes</v>
      </c>
    </row>
    <row r="1077" spans="1:6" x14ac:dyDescent="0.3">
      <c r="A1077" s="9" t="s">
        <v>22</v>
      </c>
      <c r="B1077" s="9" t="s">
        <v>85</v>
      </c>
      <c r="C1077" s="9" t="s">
        <v>85</v>
      </c>
      <c r="D1077" s="9">
        <v>0</v>
      </c>
      <c r="E1077" s="11" t="s">
        <v>105</v>
      </c>
      <c r="F1077" s="11" t="str">
        <f t="shared" si="16"/>
        <v>Yes</v>
      </c>
    </row>
    <row r="1078" spans="1:6" x14ac:dyDescent="0.3">
      <c r="A1078" s="9" t="s">
        <v>22</v>
      </c>
      <c r="B1078" s="9" t="s">
        <v>84</v>
      </c>
      <c r="C1078" s="9" t="s">
        <v>85</v>
      </c>
      <c r="D1078" s="9">
        <v>0</v>
      </c>
      <c r="E1078" s="11" t="s">
        <v>105</v>
      </c>
      <c r="F1078" s="11" t="str">
        <f t="shared" si="16"/>
        <v>Yes</v>
      </c>
    </row>
    <row r="1079" spans="1:6" x14ac:dyDescent="0.3">
      <c r="A1079" s="9" t="s">
        <v>22</v>
      </c>
      <c r="B1079" s="9" t="s">
        <v>83</v>
      </c>
      <c r="C1079" s="9" t="s">
        <v>95</v>
      </c>
      <c r="D1079" s="9">
        <v>1</v>
      </c>
      <c r="E1079" s="11" t="s">
        <v>105</v>
      </c>
      <c r="F1079" s="11" t="str">
        <f t="shared" si="16"/>
        <v>Yes</v>
      </c>
    </row>
    <row r="1080" spans="1:6" x14ac:dyDescent="0.3">
      <c r="A1080" s="9" t="s">
        <v>22</v>
      </c>
      <c r="B1080" s="9" t="s">
        <v>39</v>
      </c>
      <c r="C1080" s="9" t="s">
        <v>40</v>
      </c>
      <c r="D1080" s="9">
        <v>15</v>
      </c>
      <c r="E1080" s="11" t="s">
        <v>106</v>
      </c>
      <c r="F1080" s="11" t="str">
        <f t="shared" si="16"/>
        <v>Yes</v>
      </c>
    </row>
    <row r="1081" spans="1:6" x14ac:dyDescent="0.3">
      <c r="A1081" s="9" t="s">
        <v>22</v>
      </c>
      <c r="B1081" s="9" t="s">
        <v>40</v>
      </c>
      <c r="C1081" s="9" t="s">
        <v>40</v>
      </c>
      <c r="D1081" s="9">
        <v>14</v>
      </c>
      <c r="E1081" s="11" t="s">
        <v>107</v>
      </c>
      <c r="F1081" s="11" t="str">
        <f t="shared" si="16"/>
        <v>No</v>
      </c>
    </row>
    <row r="1082" spans="1:6" x14ac:dyDescent="0.3">
      <c r="A1082" s="9" t="s">
        <v>22</v>
      </c>
      <c r="B1082" s="9" t="s">
        <v>41</v>
      </c>
      <c r="C1082" s="9" t="s">
        <v>40</v>
      </c>
      <c r="D1082" s="9">
        <v>0</v>
      </c>
      <c r="E1082" s="11" t="s">
        <v>107</v>
      </c>
      <c r="F1082" s="11" t="str">
        <f t="shared" si="16"/>
        <v>No</v>
      </c>
    </row>
    <row r="1083" spans="1:6" x14ac:dyDescent="0.3">
      <c r="A1083" s="9" t="s">
        <v>22</v>
      </c>
      <c r="B1083" s="9" t="s">
        <v>42</v>
      </c>
      <c r="C1083" s="9" t="s">
        <v>40</v>
      </c>
      <c r="D1083" s="9">
        <v>0</v>
      </c>
      <c r="E1083" s="11" t="s">
        <v>107</v>
      </c>
      <c r="F1083" s="11" t="str">
        <f t="shared" si="16"/>
        <v>No</v>
      </c>
    </row>
    <row r="1084" spans="1:6" x14ac:dyDescent="0.3">
      <c r="A1084" s="9" t="s">
        <v>22</v>
      </c>
      <c r="B1084" s="9" t="s">
        <v>43</v>
      </c>
      <c r="C1084" s="9" t="s">
        <v>40</v>
      </c>
      <c r="D1084" s="9">
        <v>1</v>
      </c>
      <c r="E1084" s="11" t="s">
        <v>106</v>
      </c>
      <c r="F1084" s="11" t="str">
        <f t="shared" si="16"/>
        <v>No</v>
      </c>
    </row>
    <row r="1085" spans="1:6" x14ac:dyDescent="0.3">
      <c r="A1085" s="9" t="s">
        <v>22</v>
      </c>
      <c r="B1085" s="9" t="s">
        <v>44</v>
      </c>
      <c r="C1085" s="9" t="s">
        <v>40</v>
      </c>
      <c r="D1085" s="9">
        <v>0</v>
      </c>
      <c r="E1085" s="11" t="s">
        <v>107</v>
      </c>
      <c r="F1085" s="11" t="str">
        <f t="shared" si="16"/>
        <v>No</v>
      </c>
    </row>
    <row r="1086" spans="1:6" x14ac:dyDescent="0.3">
      <c r="A1086" s="9" t="s">
        <v>22</v>
      </c>
      <c r="B1086" s="9" t="s">
        <v>45</v>
      </c>
      <c r="C1086" s="9" t="s">
        <v>40</v>
      </c>
      <c r="D1086" s="9">
        <v>1</v>
      </c>
      <c r="E1086" s="11" t="s">
        <v>107</v>
      </c>
      <c r="F1086" s="11" t="str">
        <f t="shared" si="16"/>
        <v>No</v>
      </c>
    </row>
    <row r="1087" spans="1:6" x14ac:dyDescent="0.3">
      <c r="A1087" s="9" t="s">
        <v>22</v>
      </c>
      <c r="B1087" s="9" t="s">
        <v>71</v>
      </c>
      <c r="C1087" s="9" t="s">
        <v>40</v>
      </c>
      <c r="D1087" s="9">
        <v>0</v>
      </c>
      <c r="E1087" s="11" t="s">
        <v>105</v>
      </c>
      <c r="F1087" s="11" t="str">
        <f t="shared" si="16"/>
        <v>Yes</v>
      </c>
    </row>
    <row r="1088" spans="1:6" x14ac:dyDescent="0.3">
      <c r="A1088" s="9" t="s">
        <v>22</v>
      </c>
      <c r="B1088" s="9" t="s">
        <v>72</v>
      </c>
      <c r="C1088" s="9" t="s">
        <v>40</v>
      </c>
      <c r="D1088" s="9">
        <v>0</v>
      </c>
      <c r="E1088" s="11" t="s">
        <v>105</v>
      </c>
      <c r="F1088" s="11" t="str">
        <f t="shared" si="16"/>
        <v>Yes</v>
      </c>
    </row>
    <row r="1089" spans="1:6" x14ac:dyDescent="0.3">
      <c r="A1089" s="9" t="s">
        <v>22</v>
      </c>
      <c r="B1089" s="9" t="s">
        <v>82</v>
      </c>
      <c r="C1089" s="9" t="s">
        <v>40</v>
      </c>
      <c r="D1089" s="9">
        <v>0</v>
      </c>
      <c r="E1089" s="11" t="s">
        <v>105</v>
      </c>
      <c r="F1089" s="11" t="str">
        <f t="shared" si="16"/>
        <v>Yes</v>
      </c>
    </row>
    <row r="1090" spans="1:6" x14ac:dyDescent="0.3">
      <c r="A1090" s="9" t="s">
        <v>22</v>
      </c>
      <c r="B1090" s="9" t="s">
        <v>81</v>
      </c>
      <c r="C1090" s="9" t="s">
        <v>81</v>
      </c>
      <c r="D1090" s="9">
        <v>0</v>
      </c>
      <c r="E1090" s="11" t="s">
        <v>105</v>
      </c>
      <c r="F1090" s="11" t="str">
        <f t="shared" ref="F1090:F1153" si="17">IF(E1090="Standalone","Yes",IF(AND(E1090="Total",OR(B1090="Kidnapping &amp; Abduction (Total)",B1090="Rape (Total)",B1090="Attempt to Rape (Total)",B1090="Assault to Outrage Modesty (Total)",B1090="Insult to Modesty (Total)",B1090="Immoral Traffic (Prevention) Act (Total)",B1090="Women-Centric Cyber Crime (Total)",B1090="POCSO (Protection of Children from Sexual Offences Act) (Total)")),"Yes","No"))</f>
        <v>Yes</v>
      </c>
    </row>
    <row r="1091" spans="1:6" x14ac:dyDescent="0.3">
      <c r="A1091" s="9" t="s">
        <v>22</v>
      </c>
      <c r="B1091" s="9" t="s">
        <v>73</v>
      </c>
      <c r="C1091" s="9" t="s">
        <v>81</v>
      </c>
      <c r="D1091" s="9">
        <v>0</v>
      </c>
      <c r="E1091" s="11" t="s">
        <v>105</v>
      </c>
      <c r="F1091" s="11" t="str">
        <f t="shared" si="17"/>
        <v>Yes</v>
      </c>
    </row>
    <row r="1092" spans="1:6" x14ac:dyDescent="0.3">
      <c r="A1092" s="9" t="s">
        <v>22</v>
      </c>
      <c r="B1092" s="9" t="s">
        <v>80</v>
      </c>
      <c r="C1092" s="9" t="s">
        <v>81</v>
      </c>
      <c r="D1092" s="9">
        <v>0</v>
      </c>
      <c r="E1092" s="11" t="s">
        <v>105</v>
      </c>
      <c r="F1092" s="11" t="str">
        <f t="shared" si="17"/>
        <v>Yes</v>
      </c>
    </row>
    <row r="1093" spans="1:6" x14ac:dyDescent="0.3">
      <c r="A1093" s="9" t="s">
        <v>22</v>
      </c>
      <c r="B1093" s="9" t="s">
        <v>79</v>
      </c>
      <c r="C1093" s="9" t="s">
        <v>96</v>
      </c>
      <c r="D1093" s="9">
        <v>9</v>
      </c>
      <c r="E1093" s="11" t="s">
        <v>106</v>
      </c>
      <c r="F1093" s="11" t="str">
        <f t="shared" si="17"/>
        <v>Yes</v>
      </c>
    </row>
    <row r="1094" spans="1:6" x14ac:dyDescent="0.3">
      <c r="A1094" s="9" t="s">
        <v>22</v>
      </c>
      <c r="B1094" s="9" t="s">
        <v>46</v>
      </c>
      <c r="C1094" s="9" t="s">
        <v>96</v>
      </c>
      <c r="D1094" s="9">
        <v>9</v>
      </c>
      <c r="E1094" s="11" t="s">
        <v>107</v>
      </c>
      <c r="F1094" s="11" t="str">
        <f t="shared" si="17"/>
        <v>No</v>
      </c>
    </row>
    <row r="1095" spans="1:6" x14ac:dyDescent="0.3">
      <c r="A1095" s="9" t="s">
        <v>22</v>
      </c>
      <c r="B1095" s="9" t="s">
        <v>47</v>
      </c>
      <c r="C1095" s="9" t="s">
        <v>96</v>
      </c>
      <c r="D1095" s="9">
        <v>0</v>
      </c>
      <c r="E1095" s="11" t="s">
        <v>107</v>
      </c>
      <c r="F1095" s="11" t="str">
        <f t="shared" si="17"/>
        <v>No</v>
      </c>
    </row>
    <row r="1096" spans="1:6" x14ac:dyDescent="0.3">
      <c r="A1096" s="9" t="s">
        <v>22</v>
      </c>
      <c r="B1096" s="9" t="s">
        <v>48</v>
      </c>
      <c r="C1096" s="9" t="s">
        <v>97</v>
      </c>
      <c r="D1096" s="9">
        <v>0</v>
      </c>
      <c r="E1096" s="11" t="s">
        <v>106</v>
      </c>
      <c r="F1096" s="11" t="str">
        <f t="shared" si="17"/>
        <v>Yes</v>
      </c>
    </row>
    <row r="1097" spans="1:6" x14ac:dyDescent="0.3">
      <c r="A1097" s="9" t="s">
        <v>22</v>
      </c>
      <c r="B1097" s="9" t="s">
        <v>49</v>
      </c>
      <c r="C1097" s="9" t="s">
        <v>97</v>
      </c>
      <c r="D1097" s="9">
        <v>0</v>
      </c>
      <c r="E1097" s="11" t="s">
        <v>107</v>
      </c>
      <c r="F1097" s="11" t="str">
        <f t="shared" si="17"/>
        <v>No</v>
      </c>
    </row>
    <row r="1098" spans="1:6" x14ac:dyDescent="0.3">
      <c r="A1098" s="9" t="s">
        <v>22</v>
      </c>
      <c r="B1098" s="9" t="s">
        <v>50</v>
      </c>
      <c r="C1098" s="9" t="s">
        <v>97</v>
      </c>
      <c r="D1098" s="9">
        <v>0</v>
      </c>
      <c r="E1098" s="11" t="s">
        <v>107</v>
      </c>
      <c r="F1098" s="11" t="str">
        <f t="shared" si="17"/>
        <v>No</v>
      </c>
    </row>
    <row r="1099" spans="1:6" x14ac:dyDescent="0.3">
      <c r="A1099" s="9" t="s">
        <v>22</v>
      </c>
      <c r="B1099" s="9" t="s">
        <v>51</v>
      </c>
      <c r="C1099" s="9" t="s">
        <v>99</v>
      </c>
      <c r="D1099" s="9">
        <v>16</v>
      </c>
      <c r="E1099" s="11" t="s">
        <v>106</v>
      </c>
      <c r="F1099" s="11" t="str">
        <f t="shared" si="17"/>
        <v>Yes</v>
      </c>
    </row>
    <row r="1100" spans="1:6" x14ac:dyDescent="0.3">
      <c r="A1100" s="9" t="s">
        <v>22</v>
      </c>
      <c r="B1100" s="9" t="s">
        <v>52</v>
      </c>
      <c r="C1100" s="9" t="s">
        <v>99</v>
      </c>
      <c r="D1100" s="9">
        <v>16</v>
      </c>
      <c r="E1100" s="11" t="s">
        <v>107</v>
      </c>
      <c r="F1100" s="11" t="str">
        <f t="shared" si="17"/>
        <v>No</v>
      </c>
    </row>
    <row r="1101" spans="1:6" x14ac:dyDescent="0.3">
      <c r="A1101" s="9" t="s">
        <v>22</v>
      </c>
      <c r="B1101" s="9" t="s">
        <v>53</v>
      </c>
      <c r="C1101" s="9" t="s">
        <v>99</v>
      </c>
      <c r="D1101" s="9">
        <v>0</v>
      </c>
      <c r="E1101" s="11" t="s">
        <v>107</v>
      </c>
      <c r="F1101" s="11" t="str">
        <f t="shared" si="17"/>
        <v>No</v>
      </c>
    </row>
    <row r="1102" spans="1:6" x14ac:dyDescent="0.3">
      <c r="A1102" s="9" t="s">
        <v>22</v>
      </c>
      <c r="B1102" s="9" t="s">
        <v>54</v>
      </c>
      <c r="C1102" s="9" t="s">
        <v>98</v>
      </c>
      <c r="D1102" s="9">
        <v>0</v>
      </c>
      <c r="E1102" s="11" t="s">
        <v>106</v>
      </c>
      <c r="F1102" s="11" t="str">
        <f t="shared" si="17"/>
        <v>Yes</v>
      </c>
    </row>
    <row r="1103" spans="1:6" x14ac:dyDescent="0.3">
      <c r="A1103" s="9" t="s">
        <v>22</v>
      </c>
      <c r="B1103" s="9" t="s">
        <v>55</v>
      </c>
      <c r="C1103" s="9" t="s">
        <v>98</v>
      </c>
      <c r="D1103" s="9">
        <v>0</v>
      </c>
      <c r="E1103" s="11" t="s">
        <v>107</v>
      </c>
      <c r="F1103" s="11" t="str">
        <f t="shared" si="17"/>
        <v>No</v>
      </c>
    </row>
    <row r="1104" spans="1:6" x14ac:dyDescent="0.3">
      <c r="A1104" s="9" t="s">
        <v>22</v>
      </c>
      <c r="B1104" s="9" t="s">
        <v>56</v>
      </c>
      <c r="C1104" s="9" t="s">
        <v>98</v>
      </c>
      <c r="D1104" s="9">
        <v>0</v>
      </c>
      <c r="E1104" s="11" t="s">
        <v>107</v>
      </c>
      <c r="F1104" s="11" t="str">
        <f t="shared" si="17"/>
        <v>No</v>
      </c>
    </row>
    <row r="1105" spans="1:6" x14ac:dyDescent="0.3">
      <c r="A1105" s="9" t="s">
        <v>22</v>
      </c>
      <c r="B1105" s="9" t="s">
        <v>74</v>
      </c>
      <c r="C1105" s="9" t="s">
        <v>74</v>
      </c>
      <c r="D1105" s="9">
        <v>0</v>
      </c>
      <c r="E1105" s="11" t="s">
        <v>105</v>
      </c>
      <c r="F1105" s="11" t="str">
        <f t="shared" si="17"/>
        <v>Yes</v>
      </c>
    </row>
    <row r="1106" spans="1:6" x14ac:dyDescent="0.3">
      <c r="A1106" s="9" t="s">
        <v>22</v>
      </c>
      <c r="B1106" s="9" t="s">
        <v>57</v>
      </c>
      <c r="C1106" s="9" t="s">
        <v>100</v>
      </c>
      <c r="D1106" s="9">
        <v>0</v>
      </c>
      <c r="E1106" s="11" t="s">
        <v>106</v>
      </c>
      <c r="F1106" s="11" t="str">
        <f t="shared" si="17"/>
        <v>Yes</v>
      </c>
    </row>
    <row r="1107" spans="1:6" x14ac:dyDescent="0.3">
      <c r="A1107" s="9" t="s">
        <v>22</v>
      </c>
      <c r="B1107" s="9" t="s">
        <v>76</v>
      </c>
      <c r="C1107" s="9" t="s">
        <v>100</v>
      </c>
      <c r="D1107" s="9">
        <v>0</v>
      </c>
      <c r="E1107" s="11" t="s">
        <v>107</v>
      </c>
      <c r="F1107" s="11" t="str">
        <f t="shared" si="17"/>
        <v>No</v>
      </c>
    </row>
    <row r="1108" spans="1:6" x14ac:dyDescent="0.3">
      <c r="A1108" s="9" t="s">
        <v>22</v>
      </c>
      <c r="B1108" s="9" t="s">
        <v>58</v>
      </c>
      <c r="C1108" s="9" t="s">
        <v>100</v>
      </c>
      <c r="D1108" s="9">
        <v>0</v>
      </c>
      <c r="E1108" s="11" t="s">
        <v>107</v>
      </c>
      <c r="F1108" s="11" t="str">
        <f t="shared" si="17"/>
        <v>No</v>
      </c>
    </row>
    <row r="1109" spans="1:6" x14ac:dyDescent="0.3">
      <c r="A1109" s="9" t="s">
        <v>22</v>
      </c>
      <c r="B1109" s="9" t="s">
        <v>59</v>
      </c>
      <c r="C1109" s="9" t="s">
        <v>100</v>
      </c>
      <c r="D1109" s="9">
        <v>0</v>
      </c>
      <c r="E1109" s="11" t="s">
        <v>107</v>
      </c>
      <c r="F1109" s="11" t="str">
        <f t="shared" si="17"/>
        <v>No</v>
      </c>
    </row>
    <row r="1110" spans="1:6" x14ac:dyDescent="0.3">
      <c r="A1110" s="9" t="s">
        <v>22</v>
      </c>
      <c r="B1110" s="9" t="s">
        <v>60</v>
      </c>
      <c r="C1110" s="9" t="s">
        <v>100</v>
      </c>
      <c r="D1110" s="9">
        <v>0</v>
      </c>
      <c r="E1110" s="11" t="s">
        <v>107</v>
      </c>
      <c r="F1110" s="11" t="str">
        <f t="shared" si="17"/>
        <v>No</v>
      </c>
    </row>
    <row r="1111" spans="1:6" x14ac:dyDescent="0.3">
      <c r="A1111" s="9" t="s">
        <v>22</v>
      </c>
      <c r="B1111" s="9" t="s">
        <v>61</v>
      </c>
      <c r="C1111" s="9" t="s">
        <v>100</v>
      </c>
      <c r="D1111" s="9">
        <v>0</v>
      </c>
      <c r="E1111" s="11" t="s">
        <v>107</v>
      </c>
      <c r="F1111" s="11" t="str">
        <f t="shared" si="17"/>
        <v>No</v>
      </c>
    </row>
    <row r="1112" spans="1:6" x14ac:dyDescent="0.3">
      <c r="A1112" s="9" t="s">
        <v>22</v>
      </c>
      <c r="B1112" s="9" t="s">
        <v>78</v>
      </c>
      <c r="C1112" s="9" t="s">
        <v>95</v>
      </c>
      <c r="D1112" s="9">
        <v>0</v>
      </c>
      <c r="E1112" s="11" t="s">
        <v>105</v>
      </c>
      <c r="F1112" s="11" t="str">
        <f t="shared" si="17"/>
        <v>Yes</v>
      </c>
    </row>
    <row r="1113" spans="1:6" x14ac:dyDescent="0.3">
      <c r="A1113" s="9" t="s">
        <v>22</v>
      </c>
      <c r="B1113" s="9" t="s">
        <v>62</v>
      </c>
      <c r="C1113" s="9" t="s">
        <v>101</v>
      </c>
      <c r="D1113" s="9">
        <v>4</v>
      </c>
      <c r="E1113" s="11" t="s">
        <v>106</v>
      </c>
      <c r="F1113" s="11" t="str">
        <f t="shared" si="17"/>
        <v>Yes</v>
      </c>
    </row>
    <row r="1114" spans="1:6" x14ac:dyDescent="0.3">
      <c r="A1114" s="9" t="s">
        <v>22</v>
      </c>
      <c r="B1114" s="9" t="s">
        <v>63</v>
      </c>
      <c r="C1114" s="9" t="s">
        <v>101</v>
      </c>
      <c r="D1114" s="9">
        <v>4</v>
      </c>
      <c r="E1114" s="11" t="s">
        <v>107</v>
      </c>
      <c r="F1114" s="11" t="str">
        <f t="shared" si="17"/>
        <v>No</v>
      </c>
    </row>
    <row r="1115" spans="1:6" x14ac:dyDescent="0.3">
      <c r="A1115" s="9" t="s">
        <v>22</v>
      </c>
      <c r="B1115" s="9" t="s">
        <v>64</v>
      </c>
      <c r="C1115" s="9" t="s">
        <v>101</v>
      </c>
      <c r="D1115" s="9">
        <v>0</v>
      </c>
      <c r="E1115" s="11" t="s">
        <v>107</v>
      </c>
      <c r="F1115" s="11" t="str">
        <f t="shared" si="17"/>
        <v>No</v>
      </c>
    </row>
    <row r="1116" spans="1:6" x14ac:dyDescent="0.3">
      <c r="A1116" s="9" t="s">
        <v>22</v>
      </c>
      <c r="B1116" s="9" t="s">
        <v>77</v>
      </c>
      <c r="C1116" s="9" t="s">
        <v>102</v>
      </c>
      <c r="D1116" s="9">
        <v>86</v>
      </c>
      <c r="E1116" s="11" t="s">
        <v>106</v>
      </c>
      <c r="F1116" s="11" t="str">
        <f t="shared" si="17"/>
        <v>Yes</v>
      </c>
    </row>
    <row r="1117" spans="1:6" x14ac:dyDescent="0.3">
      <c r="A1117" s="9" t="s">
        <v>22</v>
      </c>
      <c r="B1117" s="9" t="s">
        <v>65</v>
      </c>
      <c r="C1117" s="9" t="s">
        <v>102</v>
      </c>
      <c r="D1117" s="9">
        <v>65</v>
      </c>
      <c r="E1117" s="11" t="s">
        <v>107</v>
      </c>
      <c r="F1117" s="11" t="str">
        <f t="shared" si="17"/>
        <v>No</v>
      </c>
    </row>
    <row r="1118" spans="1:6" x14ac:dyDescent="0.3">
      <c r="A1118" s="9" t="s">
        <v>22</v>
      </c>
      <c r="B1118" s="9" t="s">
        <v>66</v>
      </c>
      <c r="C1118" s="9" t="s">
        <v>102</v>
      </c>
      <c r="D1118" s="9">
        <v>18</v>
      </c>
      <c r="E1118" s="11" t="s">
        <v>107</v>
      </c>
      <c r="F1118" s="11" t="str">
        <f t="shared" si="17"/>
        <v>No</v>
      </c>
    </row>
    <row r="1119" spans="1:6" x14ac:dyDescent="0.3">
      <c r="A1119" s="9" t="s">
        <v>22</v>
      </c>
      <c r="B1119" s="9" t="s">
        <v>67</v>
      </c>
      <c r="C1119" s="9" t="s">
        <v>102</v>
      </c>
      <c r="D1119" s="9">
        <v>3</v>
      </c>
      <c r="E1119" s="11" t="s">
        <v>107</v>
      </c>
      <c r="F1119" s="11" t="str">
        <f t="shared" si="17"/>
        <v>No</v>
      </c>
    </row>
    <row r="1120" spans="1:6" x14ac:dyDescent="0.3">
      <c r="A1120" s="9" t="s">
        <v>22</v>
      </c>
      <c r="B1120" s="9" t="s">
        <v>68</v>
      </c>
      <c r="C1120" s="9" t="s">
        <v>102</v>
      </c>
      <c r="D1120" s="9">
        <v>0</v>
      </c>
      <c r="E1120" s="11" t="s">
        <v>107</v>
      </c>
      <c r="F1120" s="11" t="str">
        <f t="shared" si="17"/>
        <v>No</v>
      </c>
    </row>
    <row r="1121" spans="1:6" x14ac:dyDescent="0.3">
      <c r="A1121" s="9" t="s">
        <v>22</v>
      </c>
      <c r="B1121" s="9" t="s">
        <v>69</v>
      </c>
      <c r="C1121" s="9" t="s">
        <v>102</v>
      </c>
      <c r="D1121" s="9">
        <v>0</v>
      </c>
      <c r="E1121" s="11" t="s">
        <v>107</v>
      </c>
      <c r="F1121" s="11" t="str">
        <f t="shared" si="17"/>
        <v>No</v>
      </c>
    </row>
    <row r="1122" spans="1:6" x14ac:dyDescent="0.3">
      <c r="A1122" s="9" t="s">
        <v>22</v>
      </c>
      <c r="B1122" s="9" t="s">
        <v>70</v>
      </c>
      <c r="C1122" s="9" t="s">
        <v>102</v>
      </c>
      <c r="D1122" s="9">
        <v>0</v>
      </c>
      <c r="E1122" s="11" t="s">
        <v>107</v>
      </c>
      <c r="F1122" s="11" t="str">
        <f t="shared" si="17"/>
        <v>No</v>
      </c>
    </row>
    <row r="1123" spans="1:6" x14ac:dyDescent="0.3">
      <c r="A1123" s="9" t="s">
        <v>22</v>
      </c>
      <c r="B1123" s="9" t="s">
        <v>75</v>
      </c>
      <c r="C1123" s="9" t="s">
        <v>103</v>
      </c>
      <c r="D1123" s="9">
        <v>0</v>
      </c>
      <c r="E1123" s="11" t="s">
        <v>105</v>
      </c>
      <c r="F1123" s="11" t="str">
        <f t="shared" si="17"/>
        <v>Yes</v>
      </c>
    </row>
    <row r="1124" spans="1:6" x14ac:dyDescent="0.3">
      <c r="A1124" s="9" t="s">
        <v>23</v>
      </c>
      <c r="B1124" s="9" t="s">
        <v>88</v>
      </c>
      <c r="C1124" s="9" t="s">
        <v>92</v>
      </c>
      <c r="D1124" s="9">
        <v>9</v>
      </c>
      <c r="E1124" s="11" t="s">
        <v>105</v>
      </c>
      <c r="F1124" s="11" t="str">
        <f t="shared" si="17"/>
        <v>Yes</v>
      </c>
    </row>
    <row r="1125" spans="1:6" x14ac:dyDescent="0.3">
      <c r="A1125" s="9" t="s">
        <v>23</v>
      </c>
      <c r="B1125" s="9" t="s">
        <v>38</v>
      </c>
      <c r="C1125" s="9" t="s">
        <v>93</v>
      </c>
      <c r="D1125" s="9">
        <v>11</v>
      </c>
      <c r="E1125" s="11" t="s">
        <v>105</v>
      </c>
      <c r="F1125" s="11" t="str">
        <f t="shared" si="17"/>
        <v>Yes</v>
      </c>
    </row>
    <row r="1126" spans="1:6" x14ac:dyDescent="0.3">
      <c r="A1126" s="9" t="s">
        <v>23</v>
      </c>
      <c r="B1126" s="9" t="s">
        <v>87</v>
      </c>
      <c r="C1126" s="9" t="s">
        <v>94</v>
      </c>
      <c r="D1126" s="9">
        <v>143</v>
      </c>
      <c r="E1126" s="11" t="s">
        <v>105</v>
      </c>
      <c r="F1126" s="11" t="str">
        <f t="shared" si="17"/>
        <v>Yes</v>
      </c>
    </row>
    <row r="1127" spans="1:6" x14ac:dyDescent="0.3">
      <c r="A1127" s="9" t="s">
        <v>23</v>
      </c>
      <c r="B1127" s="9" t="s">
        <v>86</v>
      </c>
      <c r="C1127" s="9" t="s">
        <v>86</v>
      </c>
      <c r="D1127" s="9">
        <v>2</v>
      </c>
      <c r="E1127" s="11" t="s">
        <v>105</v>
      </c>
      <c r="F1127" s="11" t="str">
        <f t="shared" si="17"/>
        <v>Yes</v>
      </c>
    </row>
    <row r="1128" spans="1:6" x14ac:dyDescent="0.3">
      <c r="A1128" s="9" t="s">
        <v>23</v>
      </c>
      <c r="B1128" s="9" t="s">
        <v>85</v>
      </c>
      <c r="C1128" s="9" t="s">
        <v>85</v>
      </c>
      <c r="D1128" s="9">
        <v>3</v>
      </c>
      <c r="E1128" s="11" t="s">
        <v>105</v>
      </c>
      <c r="F1128" s="11" t="str">
        <f t="shared" si="17"/>
        <v>Yes</v>
      </c>
    </row>
    <row r="1129" spans="1:6" x14ac:dyDescent="0.3">
      <c r="A1129" s="9" t="s">
        <v>23</v>
      </c>
      <c r="B1129" s="9" t="s">
        <v>84</v>
      </c>
      <c r="C1129" s="9" t="s">
        <v>85</v>
      </c>
      <c r="D1129" s="9">
        <v>0</v>
      </c>
      <c r="E1129" s="11" t="s">
        <v>105</v>
      </c>
      <c r="F1129" s="11" t="str">
        <f t="shared" si="17"/>
        <v>Yes</v>
      </c>
    </row>
    <row r="1130" spans="1:6" x14ac:dyDescent="0.3">
      <c r="A1130" s="9" t="s">
        <v>23</v>
      </c>
      <c r="B1130" s="9" t="s">
        <v>83</v>
      </c>
      <c r="C1130" s="9" t="s">
        <v>95</v>
      </c>
      <c r="D1130" s="9">
        <v>1017</v>
      </c>
      <c r="E1130" s="11" t="s">
        <v>105</v>
      </c>
      <c r="F1130" s="11" t="str">
        <f t="shared" si="17"/>
        <v>Yes</v>
      </c>
    </row>
    <row r="1131" spans="1:6" x14ac:dyDescent="0.3">
      <c r="A1131" s="9" t="s">
        <v>23</v>
      </c>
      <c r="B1131" s="9" t="s">
        <v>39</v>
      </c>
      <c r="C1131" s="9" t="s">
        <v>40</v>
      </c>
      <c r="D1131" s="9">
        <v>290</v>
      </c>
      <c r="E1131" s="11" t="s">
        <v>106</v>
      </c>
      <c r="F1131" s="11" t="str">
        <f t="shared" si="17"/>
        <v>Yes</v>
      </c>
    </row>
    <row r="1132" spans="1:6" x14ac:dyDescent="0.3">
      <c r="A1132" s="9" t="s">
        <v>23</v>
      </c>
      <c r="B1132" s="9" t="s">
        <v>40</v>
      </c>
      <c r="C1132" s="9" t="s">
        <v>40</v>
      </c>
      <c r="D1132" s="9">
        <v>57</v>
      </c>
      <c r="E1132" s="11" t="s">
        <v>107</v>
      </c>
      <c r="F1132" s="11" t="str">
        <f t="shared" si="17"/>
        <v>No</v>
      </c>
    </row>
    <row r="1133" spans="1:6" x14ac:dyDescent="0.3">
      <c r="A1133" s="9" t="s">
        <v>23</v>
      </c>
      <c r="B1133" s="9" t="s">
        <v>41</v>
      </c>
      <c r="C1133" s="9" t="s">
        <v>40</v>
      </c>
      <c r="D1133" s="9">
        <v>0</v>
      </c>
      <c r="E1133" s="11" t="s">
        <v>107</v>
      </c>
      <c r="F1133" s="11" t="str">
        <f t="shared" si="17"/>
        <v>No</v>
      </c>
    </row>
    <row r="1134" spans="1:6" x14ac:dyDescent="0.3">
      <c r="A1134" s="9" t="s">
        <v>23</v>
      </c>
      <c r="B1134" s="9" t="s">
        <v>42</v>
      </c>
      <c r="C1134" s="9" t="s">
        <v>40</v>
      </c>
      <c r="D1134" s="9">
        <v>5</v>
      </c>
      <c r="E1134" s="11" t="s">
        <v>107</v>
      </c>
      <c r="F1134" s="11" t="str">
        <f t="shared" si="17"/>
        <v>No</v>
      </c>
    </row>
    <row r="1135" spans="1:6" x14ac:dyDescent="0.3">
      <c r="A1135" s="9" t="s">
        <v>23</v>
      </c>
      <c r="B1135" s="9" t="s">
        <v>43</v>
      </c>
      <c r="C1135" s="9" t="s">
        <v>40</v>
      </c>
      <c r="D1135" s="9">
        <v>193</v>
      </c>
      <c r="E1135" s="11" t="s">
        <v>106</v>
      </c>
      <c r="F1135" s="11" t="str">
        <f t="shared" si="17"/>
        <v>No</v>
      </c>
    </row>
    <row r="1136" spans="1:6" x14ac:dyDescent="0.3">
      <c r="A1136" s="9" t="s">
        <v>23</v>
      </c>
      <c r="B1136" s="9" t="s">
        <v>44</v>
      </c>
      <c r="C1136" s="9" t="s">
        <v>40</v>
      </c>
      <c r="D1136" s="9">
        <v>92</v>
      </c>
      <c r="E1136" s="11" t="s">
        <v>107</v>
      </c>
      <c r="F1136" s="11" t="str">
        <f t="shared" si="17"/>
        <v>No</v>
      </c>
    </row>
    <row r="1137" spans="1:6" x14ac:dyDescent="0.3">
      <c r="A1137" s="9" t="s">
        <v>23</v>
      </c>
      <c r="B1137" s="9" t="s">
        <v>45</v>
      </c>
      <c r="C1137" s="9" t="s">
        <v>40</v>
      </c>
      <c r="D1137" s="9">
        <v>101</v>
      </c>
      <c r="E1137" s="11" t="s">
        <v>107</v>
      </c>
      <c r="F1137" s="11" t="str">
        <f t="shared" si="17"/>
        <v>No</v>
      </c>
    </row>
    <row r="1138" spans="1:6" x14ac:dyDescent="0.3">
      <c r="A1138" s="9" t="s">
        <v>23</v>
      </c>
      <c r="B1138" s="9" t="s">
        <v>71</v>
      </c>
      <c r="C1138" s="9" t="s">
        <v>40</v>
      </c>
      <c r="D1138" s="9">
        <v>28</v>
      </c>
      <c r="E1138" s="11" t="s">
        <v>105</v>
      </c>
      <c r="F1138" s="11" t="str">
        <f t="shared" si="17"/>
        <v>Yes</v>
      </c>
    </row>
    <row r="1139" spans="1:6" x14ac:dyDescent="0.3">
      <c r="A1139" s="9" t="s">
        <v>23</v>
      </c>
      <c r="B1139" s="9" t="s">
        <v>72</v>
      </c>
      <c r="C1139" s="9" t="s">
        <v>40</v>
      </c>
      <c r="D1139" s="9">
        <v>0</v>
      </c>
      <c r="E1139" s="11" t="s">
        <v>105</v>
      </c>
      <c r="F1139" s="11" t="str">
        <f t="shared" si="17"/>
        <v>Yes</v>
      </c>
    </row>
    <row r="1140" spans="1:6" x14ac:dyDescent="0.3">
      <c r="A1140" s="9" t="s">
        <v>23</v>
      </c>
      <c r="B1140" s="9" t="s">
        <v>82</v>
      </c>
      <c r="C1140" s="9" t="s">
        <v>40</v>
      </c>
      <c r="D1140" s="9">
        <v>7</v>
      </c>
      <c r="E1140" s="11" t="s">
        <v>105</v>
      </c>
      <c r="F1140" s="11" t="str">
        <f t="shared" si="17"/>
        <v>Yes</v>
      </c>
    </row>
    <row r="1141" spans="1:6" x14ac:dyDescent="0.3">
      <c r="A1141" s="9" t="s">
        <v>23</v>
      </c>
      <c r="B1141" s="9" t="s">
        <v>81</v>
      </c>
      <c r="C1141" s="9" t="s">
        <v>81</v>
      </c>
      <c r="D1141" s="9">
        <v>2</v>
      </c>
      <c r="E1141" s="11" t="s">
        <v>105</v>
      </c>
      <c r="F1141" s="11" t="str">
        <f t="shared" si="17"/>
        <v>Yes</v>
      </c>
    </row>
    <row r="1142" spans="1:6" x14ac:dyDescent="0.3">
      <c r="A1142" s="9" t="s">
        <v>23</v>
      </c>
      <c r="B1142" s="9" t="s">
        <v>73</v>
      </c>
      <c r="C1142" s="9" t="s">
        <v>81</v>
      </c>
      <c r="D1142" s="9">
        <v>0</v>
      </c>
      <c r="E1142" s="11" t="s">
        <v>105</v>
      </c>
      <c r="F1142" s="11" t="str">
        <f t="shared" si="17"/>
        <v>Yes</v>
      </c>
    </row>
    <row r="1143" spans="1:6" x14ac:dyDescent="0.3">
      <c r="A1143" s="9" t="s">
        <v>23</v>
      </c>
      <c r="B1143" s="9" t="s">
        <v>80</v>
      </c>
      <c r="C1143" s="9" t="s">
        <v>81</v>
      </c>
      <c r="D1143" s="9">
        <v>0</v>
      </c>
      <c r="E1143" s="11" t="s">
        <v>105</v>
      </c>
      <c r="F1143" s="11" t="str">
        <f t="shared" si="17"/>
        <v>Yes</v>
      </c>
    </row>
    <row r="1144" spans="1:6" x14ac:dyDescent="0.3">
      <c r="A1144" s="9" t="s">
        <v>23</v>
      </c>
      <c r="B1144" s="9" t="s">
        <v>79</v>
      </c>
      <c r="C1144" s="9" t="s">
        <v>96</v>
      </c>
      <c r="D1144" s="9">
        <v>365</v>
      </c>
      <c r="E1144" s="11" t="s">
        <v>106</v>
      </c>
      <c r="F1144" s="11" t="str">
        <f t="shared" si="17"/>
        <v>Yes</v>
      </c>
    </row>
    <row r="1145" spans="1:6" x14ac:dyDescent="0.3">
      <c r="A1145" s="9" t="s">
        <v>23</v>
      </c>
      <c r="B1145" s="9" t="s">
        <v>46</v>
      </c>
      <c r="C1145" s="9" t="s">
        <v>96</v>
      </c>
      <c r="D1145" s="9">
        <v>365</v>
      </c>
      <c r="E1145" s="11" t="s">
        <v>107</v>
      </c>
      <c r="F1145" s="11" t="str">
        <f t="shared" si="17"/>
        <v>No</v>
      </c>
    </row>
    <row r="1146" spans="1:6" x14ac:dyDescent="0.3">
      <c r="A1146" s="9" t="s">
        <v>23</v>
      </c>
      <c r="B1146" s="9" t="s">
        <v>47</v>
      </c>
      <c r="C1146" s="9" t="s">
        <v>96</v>
      </c>
      <c r="D1146" s="9">
        <v>0</v>
      </c>
      <c r="E1146" s="11" t="s">
        <v>107</v>
      </c>
      <c r="F1146" s="11" t="str">
        <f t="shared" si="17"/>
        <v>No</v>
      </c>
    </row>
    <row r="1147" spans="1:6" x14ac:dyDescent="0.3">
      <c r="A1147" s="9" t="s">
        <v>23</v>
      </c>
      <c r="B1147" s="9" t="s">
        <v>48</v>
      </c>
      <c r="C1147" s="9" t="s">
        <v>97</v>
      </c>
      <c r="D1147" s="9">
        <v>41</v>
      </c>
      <c r="E1147" s="11" t="s">
        <v>106</v>
      </c>
      <c r="F1147" s="11" t="str">
        <f t="shared" si="17"/>
        <v>Yes</v>
      </c>
    </row>
    <row r="1148" spans="1:6" x14ac:dyDescent="0.3">
      <c r="A1148" s="9" t="s">
        <v>23</v>
      </c>
      <c r="B1148" s="9" t="s">
        <v>49</v>
      </c>
      <c r="C1148" s="9" t="s">
        <v>97</v>
      </c>
      <c r="D1148" s="9">
        <v>41</v>
      </c>
      <c r="E1148" s="11" t="s">
        <v>107</v>
      </c>
      <c r="F1148" s="11" t="str">
        <f t="shared" si="17"/>
        <v>No</v>
      </c>
    </row>
    <row r="1149" spans="1:6" x14ac:dyDescent="0.3">
      <c r="A1149" s="9" t="s">
        <v>23</v>
      </c>
      <c r="B1149" s="9" t="s">
        <v>50</v>
      </c>
      <c r="C1149" s="9" t="s">
        <v>97</v>
      </c>
      <c r="D1149" s="9">
        <v>0</v>
      </c>
      <c r="E1149" s="11" t="s">
        <v>107</v>
      </c>
      <c r="F1149" s="11" t="str">
        <f t="shared" si="17"/>
        <v>No</v>
      </c>
    </row>
    <row r="1150" spans="1:6" x14ac:dyDescent="0.3">
      <c r="A1150" s="9" t="s">
        <v>23</v>
      </c>
      <c r="B1150" s="9" t="s">
        <v>51</v>
      </c>
      <c r="C1150" s="9" t="s">
        <v>99</v>
      </c>
      <c r="D1150" s="9">
        <v>1650</v>
      </c>
      <c r="E1150" s="11" t="s">
        <v>106</v>
      </c>
      <c r="F1150" s="11" t="str">
        <f t="shared" si="17"/>
        <v>Yes</v>
      </c>
    </row>
    <row r="1151" spans="1:6" x14ac:dyDescent="0.3">
      <c r="A1151" s="9" t="s">
        <v>23</v>
      </c>
      <c r="B1151" s="9" t="s">
        <v>52</v>
      </c>
      <c r="C1151" s="9" t="s">
        <v>99</v>
      </c>
      <c r="D1151" s="9">
        <v>1641</v>
      </c>
      <c r="E1151" s="11" t="s">
        <v>107</v>
      </c>
      <c r="F1151" s="11" t="str">
        <f t="shared" si="17"/>
        <v>No</v>
      </c>
    </row>
    <row r="1152" spans="1:6" x14ac:dyDescent="0.3">
      <c r="A1152" s="9" t="s">
        <v>23</v>
      </c>
      <c r="B1152" s="9" t="s">
        <v>53</v>
      </c>
      <c r="C1152" s="9" t="s">
        <v>99</v>
      </c>
      <c r="D1152" s="9">
        <v>9</v>
      </c>
      <c r="E1152" s="11" t="s">
        <v>107</v>
      </c>
      <c r="F1152" s="11" t="str">
        <f t="shared" si="17"/>
        <v>No</v>
      </c>
    </row>
    <row r="1153" spans="1:6" x14ac:dyDescent="0.3">
      <c r="A1153" s="9" t="s">
        <v>23</v>
      </c>
      <c r="B1153" s="9" t="s">
        <v>54</v>
      </c>
      <c r="C1153" s="9" t="s">
        <v>98</v>
      </c>
      <c r="D1153" s="9">
        <v>46</v>
      </c>
      <c r="E1153" s="11" t="s">
        <v>106</v>
      </c>
      <c r="F1153" s="11" t="str">
        <f t="shared" si="17"/>
        <v>Yes</v>
      </c>
    </row>
    <row r="1154" spans="1:6" x14ac:dyDescent="0.3">
      <c r="A1154" s="9" t="s">
        <v>23</v>
      </c>
      <c r="B1154" s="9" t="s">
        <v>55</v>
      </c>
      <c r="C1154" s="9" t="s">
        <v>98</v>
      </c>
      <c r="D1154" s="9">
        <v>46</v>
      </c>
      <c r="E1154" s="11" t="s">
        <v>107</v>
      </c>
      <c r="F1154" s="11" t="str">
        <f t="shared" ref="F1154:F1217" si="18">IF(E1154="Standalone","Yes",IF(AND(E1154="Total",OR(B1154="Kidnapping &amp; Abduction (Total)",B1154="Rape (Total)",B1154="Attempt to Rape (Total)",B1154="Assault to Outrage Modesty (Total)",B1154="Insult to Modesty (Total)",B1154="Immoral Traffic (Prevention) Act (Total)",B1154="Women-Centric Cyber Crime (Total)",B1154="POCSO (Protection of Children from Sexual Offences Act) (Total)")),"Yes","No"))</f>
        <v>No</v>
      </c>
    </row>
    <row r="1155" spans="1:6" x14ac:dyDescent="0.3">
      <c r="A1155" s="9" t="s">
        <v>23</v>
      </c>
      <c r="B1155" s="9" t="s">
        <v>56</v>
      </c>
      <c r="C1155" s="9" t="s">
        <v>98</v>
      </c>
      <c r="D1155" s="9">
        <v>0</v>
      </c>
      <c r="E1155" s="11" t="s">
        <v>107</v>
      </c>
      <c r="F1155" s="11" t="str">
        <f t="shared" si="18"/>
        <v>No</v>
      </c>
    </row>
    <row r="1156" spans="1:6" x14ac:dyDescent="0.3">
      <c r="A1156" s="9" t="s">
        <v>23</v>
      </c>
      <c r="B1156" s="9" t="s">
        <v>74</v>
      </c>
      <c r="C1156" s="9" t="s">
        <v>74</v>
      </c>
      <c r="D1156" s="9">
        <v>144</v>
      </c>
      <c r="E1156" s="11" t="s">
        <v>105</v>
      </c>
      <c r="F1156" s="11" t="str">
        <f t="shared" si="18"/>
        <v>Yes</v>
      </c>
    </row>
    <row r="1157" spans="1:6" x14ac:dyDescent="0.3">
      <c r="A1157" s="9" t="s">
        <v>23</v>
      </c>
      <c r="B1157" s="9" t="s">
        <v>57</v>
      </c>
      <c r="C1157" s="9" t="s">
        <v>100</v>
      </c>
      <c r="D1157" s="9">
        <v>619</v>
      </c>
      <c r="E1157" s="11" t="s">
        <v>106</v>
      </c>
      <c r="F1157" s="11" t="str">
        <f t="shared" si="18"/>
        <v>Yes</v>
      </c>
    </row>
    <row r="1158" spans="1:6" x14ac:dyDescent="0.3">
      <c r="A1158" s="9" t="s">
        <v>23</v>
      </c>
      <c r="B1158" s="9" t="s">
        <v>76</v>
      </c>
      <c r="C1158" s="9" t="s">
        <v>100</v>
      </c>
      <c r="D1158" s="9">
        <v>147</v>
      </c>
      <c r="E1158" s="11" t="s">
        <v>107</v>
      </c>
      <c r="F1158" s="11" t="str">
        <f t="shared" si="18"/>
        <v>No</v>
      </c>
    </row>
    <row r="1159" spans="1:6" x14ac:dyDescent="0.3">
      <c r="A1159" s="9" t="s">
        <v>23</v>
      </c>
      <c r="B1159" s="9" t="s">
        <v>58</v>
      </c>
      <c r="C1159" s="9" t="s">
        <v>100</v>
      </c>
      <c r="D1159" s="9">
        <v>81</v>
      </c>
      <c r="E1159" s="11" t="s">
        <v>107</v>
      </c>
      <c r="F1159" s="11" t="str">
        <f t="shared" si="18"/>
        <v>No</v>
      </c>
    </row>
    <row r="1160" spans="1:6" x14ac:dyDescent="0.3">
      <c r="A1160" s="9" t="s">
        <v>23</v>
      </c>
      <c r="B1160" s="9" t="s">
        <v>59</v>
      </c>
      <c r="C1160" s="9" t="s">
        <v>100</v>
      </c>
      <c r="D1160" s="9">
        <v>38</v>
      </c>
      <c r="E1160" s="11" t="s">
        <v>107</v>
      </c>
      <c r="F1160" s="11" t="str">
        <f t="shared" si="18"/>
        <v>No</v>
      </c>
    </row>
    <row r="1161" spans="1:6" x14ac:dyDescent="0.3">
      <c r="A1161" s="9" t="s">
        <v>23</v>
      </c>
      <c r="B1161" s="9" t="s">
        <v>60</v>
      </c>
      <c r="C1161" s="9" t="s">
        <v>100</v>
      </c>
      <c r="D1161" s="9">
        <v>32</v>
      </c>
      <c r="E1161" s="11" t="s">
        <v>107</v>
      </c>
      <c r="F1161" s="11" t="str">
        <f t="shared" si="18"/>
        <v>No</v>
      </c>
    </row>
    <row r="1162" spans="1:6" x14ac:dyDescent="0.3">
      <c r="A1162" s="9" t="s">
        <v>23</v>
      </c>
      <c r="B1162" s="9" t="s">
        <v>61</v>
      </c>
      <c r="C1162" s="9" t="s">
        <v>100</v>
      </c>
      <c r="D1162" s="9">
        <v>321</v>
      </c>
      <c r="E1162" s="11" t="s">
        <v>107</v>
      </c>
      <c r="F1162" s="11" t="str">
        <f t="shared" si="18"/>
        <v>No</v>
      </c>
    </row>
    <row r="1163" spans="1:6" x14ac:dyDescent="0.3">
      <c r="A1163" s="9" t="s">
        <v>23</v>
      </c>
      <c r="B1163" s="9" t="s">
        <v>78</v>
      </c>
      <c r="C1163" s="9" t="s">
        <v>95</v>
      </c>
      <c r="D1163" s="9">
        <v>4</v>
      </c>
      <c r="E1163" s="11" t="s">
        <v>105</v>
      </c>
      <c r="F1163" s="11" t="str">
        <f t="shared" si="18"/>
        <v>Yes</v>
      </c>
    </row>
    <row r="1164" spans="1:6" x14ac:dyDescent="0.3">
      <c r="A1164" s="9" t="s">
        <v>23</v>
      </c>
      <c r="B1164" s="9" t="s">
        <v>62</v>
      </c>
      <c r="C1164" s="9" t="s">
        <v>101</v>
      </c>
      <c r="D1164" s="9">
        <v>91</v>
      </c>
      <c r="E1164" s="11" t="s">
        <v>106</v>
      </c>
      <c r="F1164" s="11" t="str">
        <f t="shared" si="18"/>
        <v>Yes</v>
      </c>
    </row>
    <row r="1165" spans="1:6" x14ac:dyDescent="0.3">
      <c r="A1165" s="9" t="s">
        <v>23</v>
      </c>
      <c r="B1165" s="9" t="s">
        <v>63</v>
      </c>
      <c r="C1165" s="9" t="s">
        <v>101</v>
      </c>
      <c r="D1165" s="9">
        <v>76</v>
      </c>
      <c r="E1165" s="11" t="s">
        <v>107</v>
      </c>
      <c r="F1165" s="11" t="str">
        <f t="shared" si="18"/>
        <v>No</v>
      </c>
    </row>
    <row r="1166" spans="1:6" x14ac:dyDescent="0.3">
      <c r="A1166" s="9" t="s">
        <v>23</v>
      </c>
      <c r="B1166" s="9" t="s">
        <v>64</v>
      </c>
      <c r="C1166" s="9" t="s">
        <v>101</v>
      </c>
      <c r="D1166" s="9">
        <v>15</v>
      </c>
      <c r="E1166" s="11" t="s">
        <v>107</v>
      </c>
      <c r="F1166" s="11" t="str">
        <f t="shared" si="18"/>
        <v>No</v>
      </c>
    </row>
    <row r="1167" spans="1:6" x14ac:dyDescent="0.3">
      <c r="A1167" s="9" t="s">
        <v>23</v>
      </c>
      <c r="B1167" s="9" t="s">
        <v>77</v>
      </c>
      <c r="C1167" s="9" t="s">
        <v>102</v>
      </c>
      <c r="D1167" s="9">
        <v>4505</v>
      </c>
      <c r="E1167" s="11" t="s">
        <v>106</v>
      </c>
      <c r="F1167" s="11" t="str">
        <f t="shared" si="18"/>
        <v>Yes</v>
      </c>
    </row>
    <row r="1168" spans="1:6" x14ac:dyDescent="0.3">
      <c r="A1168" s="9" t="s">
        <v>23</v>
      </c>
      <c r="B1168" s="9" t="s">
        <v>65</v>
      </c>
      <c r="C1168" s="9" t="s">
        <v>102</v>
      </c>
      <c r="D1168" s="9">
        <v>3347</v>
      </c>
      <c r="E1168" s="11" t="s">
        <v>107</v>
      </c>
      <c r="F1168" s="11" t="str">
        <f t="shared" si="18"/>
        <v>No</v>
      </c>
    </row>
    <row r="1169" spans="1:6" x14ac:dyDescent="0.3">
      <c r="A1169" s="9" t="s">
        <v>23</v>
      </c>
      <c r="B1169" s="9" t="s">
        <v>66</v>
      </c>
      <c r="C1169" s="9" t="s">
        <v>102</v>
      </c>
      <c r="D1169" s="9">
        <v>857</v>
      </c>
      <c r="E1169" s="11" t="s">
        <v>107</v>
      </c>
      <c r="F1169" s="11" t="str">
        <f t="shared" si="18"/>
        <v>No</v>
      </c>
    </row>
    <row r="1170" spans="1:6" x14ac:dyDescent="0.3">
      <c r="A1170" s="9" t="s">
        <v>23</v>
      </c>
      <c r="B1170" s="9" t="s">
        <v>67</v>
      </c>
      <c r="C1170" s="9" t="s">
        <v>102</v>
      </c>
      <c r="D1170" s="9">
        <v>289</v>
      </c>
      <c r="E1170" s="11" t="s">
        <v>107</v>
      </c>
      <c r="F1170" s="11" t="str">
        <f t="shared" si="18"/>
        <v>No</v>
      </c>
    </row>
    <row r="1171" spans="1:6" x14ac:dyDescent="0.3">
      <c r="A1171" s="9" t="s">
        <v>23</v>
      </c>
      <c r="B1171" s="9" t="s">
        <v>68</v>
      </c>
      <c r="C1171" s="9" t="s">
        <v>102</v>
      </c>
      <c r="D1171" s="9">
        <v>9</v>
      </c>
      <c r="E1171" s="11" t="s">
        <v>107</v>
      </c>
      <c r="F1171" s="11" t="str">
        <f t="shared" si="18"/>
        <v>No</v>
      </c>
    </row>
    <row r="1172" spans="1:6" x14ac:dyDescent="0.3">
      <c r="A1172" s="9" t="s">
        <v>23</v>
      </c>
      <c r="B1172" s="9" t="s">
        <v>69</v>
      </c>
      <c r="C1172" s="9" t="s">
        <v>102</v>
      </c>
      <c r="D1172" s="9">
        <v>3</v>
      </c>
      <c r="E1172" s="11" t="s">
        <v>107</v>
      </c>
      <c r="F1172" s="11" t="str">
        <f t="shared" si="18"/>
        <v>No</v>
      </c>
    </row>
    <row r="1173" spans="1:6" x14ac:dyDescent="0.3">
      <c r="A1173" s="9" t="s">
        <v>23</v>
      </c>
      <c r="B1173" s="9" t="s">
        <v>70</v>
      </c>
      <c r="C1173" s="9" t="s">
        <v>102</v>
      </c>
      <c r="D1173" s="9">
        <v>0</v>
      </c>
      <c r="E1173" s="11" t="s">
        <v>107</v>
      </c>
      <c r="F1173" s="11" t="str">
        <f t="shared" si="18"/>
        <v>No</v>
      </c>
    </row>
    <row r="1174" spans="1:6" x14ac:dyDescent="0.3">
      <c r="A1174" s="9" t="s">
        <v>23</v>
      </c>
      <c r="B1174" s="9" t="s">
        <v>75</v>
      </c>
      <c r="C1174" s="9" t="s">
        <v>103</v>
      </c>
      <c r="D1174" s="9">
        <v>1</v>
      </c>
      <c r="E1174" s="11" t="s">
        <v>105</v>
      </c>
      <c r="F1174" s="11" t="str">
        <f t="shared" si="18"/>
        <v>Yes</v>
      </c>
    </row>
    <row r="1175" spans="1:6" x14ac:dyDescent="0.3">
      <c r="A1175" s="9" t="s">
        <v>24</v>
      </c>
      <c r="B1175" s="9" t="s">
        <v>88</v>
      </c>
      <c r="C1175" s="9" t="s">
        <v>92</v>
      </c>
      <c r="D1175" s="9">
        <v>14</v>
      </c>
      <c r="E1175" s="11" t="s">
        <v>105</v>
      </c>
      <c r="F1175" s="11" t="str">
        <f t="shared" si="18"/>
        <v>Yes</v>
      </c>
    </row>
    <row r="1176" spans="1:6" x14ac:dyDescent="0.3">
      <c r="A1176" s="9" t="s">
        <v>24</v>
      </c>
      <c r="B1176" s="9" t="s">
        <v>38</v>
      </c>
      <c r="C1176" s="9" t="s">
        <v>93</v>
      </c>
      <c r="D1176" s="9">
        <v>145</v>
      </c>
      <c r="E1176" s="11" t="s">
        <v>105</v>
      </c>
      <c r="F1176" s="11" t="str">
        <f t="shared" si="18"/>
        <v>Yes</v>
      </c>
    </row>
    <row r="1177" spans="1:6" x14ac:dyDescent="0.3">
      <c r="A1177" s="9" t="s">
        <v>24</v>
      </c>
      <c r="B1177" s="9" t="s">
        <v>87</v>
      </c>
      <c r="C1177" s="9" t="s">
        <v>94</v>
      </c>
      <c r="D1177" s="9">
        <v>401</v>
      </c>
      <c r="E1177" s="11" t="s">
        <v>105</v>
      </c>
      <c r="F1177" s="11" t="str">
        <f t="shared" si="18"/>
        <v>Yes</v>
      </c>
    </row>
    <row r="1178" spans="1:6" x14ac:dyDescent="0.3">
      <c r="A1178" s="9" t="s">
        <v>24</v>
      </c>
      <c r="B1178" s="9" t="s">
        <v>86</v>
      </c>
      <c r="C1178" s="9" t="s">
        <v>86</v>
      </c>
      <c r="D1178" s="9">
        <v>0</v>
      </c>
      <c r="E1178" s="11" t="s">
        <v>105</v>
      </c>
      <c r="F1178" s="11" t="str">
        <f t="shared" si="18"/>
        <v>Yes</v>
      </c>
    </row>
    <row r="1179" spans="1:6" x14ac:dyDescent="0.3">
      <c r="A1179" s="9" t="s">
        <v>24</v>
      </c>
      <c r="B1179" s="9" t="s">
        <v>85</v>
      </c>
      <c r="C1179" s="9" t="s">
        <v>85</v>
      </c>
      <c r="D1179" s="9">
        <v>1</v>
      </c>
      <c r="E1179" s="11" t="s">
        <v>105</v>
      </c>
      <c r="F1179" s="11" t="str">
        <f t="shared" si="18"/>
        <v>Yes</v>
      </c>
    </row>
    <row r="1180" spans="1:6" x14ac:dyDescent="0.3">
      <c r="A1180" s="9" t="s">
        <v>24</v>
      </c>
      <c r="B1180" s="9" t="s">
        <v>84</v>
      </c>
      <c r="C1180" s="9" t="s">
        <v>85</v>
      </c>
      <c r="D1180" s="9">
        <v>1</v>
      </c>
      <c r="E1180" s="11" t="s">
        <v>105</v>
      </c>
      <c r="F1180" s="11" t="str">
        <f t="shared" si="18"/>
        <v>Yes</v>
      </c>
    </row>
    <row r="1181" spans="1:6" x14ac:dyDescent="0.3">
      <c r="A1181" s="9" t="s">
        <v>24</v>
      </c>
      <c r="B1181" s="9" t="s">
        <v>83</v>
      </c>
      <c r="C1181" s="9" t="s">
        <v>95</v>
      </c>
      <c r="D1181" s="9">
        <v>10518</v>
      </c>
      <c r="E1181" s="11" t="s">
        <v>105</v>
      </c>
      <c r="F1181" s="11" t="str">
        <f t="shared" si="18"/>
        <v>Yes</v>
      </c>
    </row>
    <row r="1182" spans="1:6" x14ac:dyDescent="0.3">
      <c r="A1182" s="9" t="s">
        <v>24</v>
      </c>
      <c r="B1182" s="9" t="s">
        <v>39</v>
      </c>
      <c r="C1182" s="9" t="s">
        <v>40</v>
      </c>
      <c r="D1182" s="9">
        <v>2152</v>
      </c>
      <c r="E1182" s="11" t="s">
        <v>106</v>
      </c>
      <c r="F1182" s="11" t="str">
        <f t="shared" si="18"/>
        <v>Yes</v>
      </c>
    </row>
    <row r="1183" spans="1:6" x14ac:dyDescent="0.3">
      <c r="A1183" s="9" t="s">
        <v>24</v>
      </c>
      <c r="B1183" s="9" t="s">
        <v>40</v>
      </c>
      <c r="C1183" s="9" t="s">
        <v>40</v>
      </c>
      <c r="D1183" s="9">
        <v>1816</v>
      </c>
      <c r="E1183" s="11" t="s">
        <v>107</v>
      </c>
      <c r="F1183" s="11" t="str">
        <f t="shared" si="18"/>
        <v>No</v>
      </c>
    </row>
    <row r="1184" spans="1:6" x14ac:dyDescent="0.3">
      <c r="A1184" s="9" t="s">
        <v>24</v>
      </c>
      <c r="B1184" s="9" t="s">
        <v>41</v>
      </c>
      <c r="C1184" s="9" t="s">
        <v>40</v>
      </c>
      <c r="D1184" s="9">
        <v>0</v>
      </c>
      <c r="E1184" s="11" t="s">
        <v>107</v>
      </c>
      <c r="F1184" s="11" t="str">
        <f t="shared" si="18"/>
        <v>No</v>
      </c>
    </row>
    <row r="1185" spans="1:6" x14ac:dyDescent="0.3">
      <c r="A1185" s="9" t="s">
        <v>24</v>
      </c>
      <c r="B1185" s="9" t="s">
        <v>42</v>
      </c>
      <c r="C1185" s="9" t="s">
        <v>40</v>
      </c>
      <c r="D1185" s="9">
        <v>0</v>
      </c>
      <c r="E1185" s="11" t="s">
        <v>107</v>
      </c>
      <c r="F1185" s="11" t="str">
        <f t="shared" si="18"/>
        <v>No</v>
      </c>
    </row>
    <row r="1186" spans="1:6" x14ac:dyDescent="0.3">
      <c r="A1186" s="9" t="s">
        <v>24</v>
      </c>
      <c r="B1186" s="9" t="s">
        <v>43</v>
      </c>
      <c r="C1186" s="9" t="s">
        <v>40</v>
      </c>
      <c r="D1186" s="9">
        <v>220</v>
      </c>
      <c r="E1186" s="11" t="s">
        <v>106</v>
      </c>
      <c r="F1186" s="11" t="str">
        <f t="shared" si="18"/>
        <v>No</v>
      </c>
    </row>
    <row r="1187" spans="1:6" x14ac:dyDescent="0.3">
      <c r="A1187" s="9" t="s">
        <v>24</v>
      </c>
      <c r="B1187" s="9" t="s">
        <v>44</v>
      </c>
      <c r="C1187" s="9" t="s">
        <v>40</v>
      </c>
      <c r="D1187" s="9">
        <v>97</v>
      </c>
      <c r="E1187" s="11" t="s">
        <v>107</v>
      </c>
      <c r="F1187" s="11" t="str">
        <f t="shared" si="18"/>
        <v>No</v>
      </c>
    </row>
    <row r="1188" spans="1:6" x14ac:dyDescent="0.3">
      <c r="A1188" s="9" t="s">
        <v>24</v>
      </c>
      <c r="B1188" s="9" t="s">
        <v>45</v>
      </c>
      <c r="C1188" s="9" t="s">
        <v>40</v>
      </c>
      <c r="D1188" s="9">
        <v>123</v>
      </c>
      <c r="E1188" s="11" t="s">
        <v>107</v>
      </c>
      <c r="F1188" s="11" t="str">
        <f t="shared" si="18"/>
        <v>No</v>
      </c>
    </row>
    <row r="1189" spans="1:6" x14ac:dyDescent="0.3">
      <c r="A1189" s="9" t="s">
        <v>24</v>
      </c>
      <c r="B1189" s="9" t="s">
        <v>71</v>
      </c>
      <c r="C1189" s="9" t="s">
        <v>40</v>
      </c>
      <c r="D1189" s="9">
        <v>76</v>
      </c>
      <c r="E1189" s="11" t="s">
        <v>105</v>
      </c>
      <c r="F1189" s="11" t="str">
        <f t="shared" si="18"/>
        <v>Yes</v>
      </c>
    </row>
    <row r="1190" spans="1:6" x14ac:dyDescent="0.3">
      <c r="A1190" s="9" t="s">
        <v>24</v>
      </c>
      <c r="B1190" s="9" t="s">
        <v>72</v>
      </c>
      <c r="C1190" s="9" t="s">
        <v>40</v>
      </c>
      <c r="D1190" s="9">
        <v>0</v>
      </c>
      <c r="E1190" s="11" t="s">
        <v>105</v>
      </c>
      <c r="F1190" s="11" t="str">
        <f t="shared" si="18"/>
        <v>Yes</v>
      </c>
    </row>
    <row r="1191" spans="1:6" x14ac:dyDescent="0.3">
      <c r="A1191" s="9" t="s">
        <v>24</v>
      </c>
      <c r="B1191" s="9" t="s">
        <v>82</v>
      </c>
      <c r="C1191" s="9" t="s">
        <v>40</v>
      </c>
      <c r="D1191" s="9">
        <v>40</v>
      </c>
      <c r="E1191" s="11" t="s">
        <v>105</v>
      </c>
      <c r="F1191" s="11" t="str">
        <f t="shared" si="18"/>
        <v>Yes</v>
      </c>
    </row>
    <row r="1192" spans="1:6" x14ac:dyDescent="0.3">
      <c r="A1192" s="9" t="s">
        <v>24</v>
      </c>
      <c r="B1192" s="9" t="s">
        <v>81</v>
      </c>
      <c r="C1192" s="9" t="s">
        <v>81</v>
      </c>
      <c r="D1192" s="9">
        <v>298</v>
      </c>
      <c r="E1192" s="11" t="s">
        <v>105</v>
      </c>
      <c r="F1192" s="11" t="str">
        <f t="shared" si="18"/>
        <v>Yes</v>
      </c>
    </row>
    <row r="1193" spans="1:6" x14ac:dyDescent="0.3">
      <c r="A1193" s="9" t="s">
        <v>24</v>
      </c>
      <c r="B1193" s="9" t="s">
        <v>73</v>
      </c>
      <c r="C1193" s="9" t="s">
        <v>81</v>
      </c>
      <c r="D1193" s="9">
        <v>0</v>
      </c>
      <c r="E1193" s="11" t="s">
        <v>105</v>
      </c>
      <c r="F1193" s="11" t="str">
        <f t="shared" si="18"/>
        <v>Yes</v>
      </c>
    </row>
    <row r="1194" spans="1:6" x14ac:dyDescent="0.3">
      <c r="A1194" s="9" t="s">
        <v>24</v>
      </c>
      <c r="B1194" s="9" t="s">
        <v>80</v>
      </c>
      <c r="C1194" s="9" t="s">
        <v>81</v>
      </c>
      <c r="D1194" s="9">
        <v>0</v>
      </c>
      <c r="E1194" s="11" t="s">
        <v>105</v>
      </c>
      <c r="F1194" s="11" t="str">
        <f t="shared" si="18"/>
        <v>Yes</v>
      </c>
    </row>
    <row r="1195" spans="1:6" x14ac:dyDescent="0.3">
      <c r="A1195" s="9" t="s">
        <v>24</v>
      </c>
      <c r="B1195" s="9" t="s">
        <v>79</v>
      </c>
      <c r="C1195" s="9" t="s">
        <v>96</v>
      </c>
      <c r="D1195" s="9">
        <v>817</v>
      </c>
      <c r="E1195" s="11" t="s">
        <v>106</v>
      </c>
      <c r="F1195" s="11" t="str">
        <f t="shared" si="18"/>
        <v>Yes</v>
      </c>
    </row>
    <row r="1196" spans="1:6" x14ac:dyDescent="0.3">
      <c r="A1196" s="9" t="s">
        <v>24</v>
      </c>
      <c r="B1196" s="9" t="s">
        <v>46</v>
      </c>
      <c r="C1196" s="9" t="s">
        <v>96</v>
      </c>
      <c r="D1196" s="9">
        <v>814</v>
      </c>
      <c r="E1196" s="11" t="s">
        <v>107</v>
      </c>
      <c r="F1196" s="11" t="str">
        <f t="shared" si="18"/>
        <v>No</v>
      </c>
    </row>
    <row r="1197" spans="1:6" x14ac:dyDescent="0.3">
      <c r="A1197" s="9" t="s">
        <v>24</v>
      </c>
      <c r="B1197" s="9" t="s">
        <v>47</v>
      </c>
      <c r="C1197" s="9" t="s">
        <v>96</v>
      </c>
      <c r="D1197" s="9">
        <v>3</v>
      </c>
      <c r="E1197" s="11" t="s">
        <v>107</v>
      </c>
      <c r="F1197" s="11" t="str">
        <f t="shared" si="18"/>
        <v>No</v>
      </c>
    </row>
    <row r="1198" spans="1:6" x14ac:dyDescent="0.3">
      <c r="A1198" s="9" t="s">
        <v>24</v>
      </c>
      <c r="B1198" s="9" t="s">
        <v>48</v>
      </c>
      <c r="C1198" s="9" t="s">
        <v>97</v>
      </c>
      <c r="D1198" s="9">
        <v>41</v>
      </c>
      <c r="E1198" s="11" t="s">
        <v>106</v>
      </c>
      <c r="F1198" s="11" t="str">
        <f t="shared" si="18"/>
        <v>Yes</v>
      </c>
    </row>
    <row r="1199" spans="1:6" x14ac:dyDescent="0.3">
      <c r="A1199" s="9" t="s">
        <v>24</v>
      </c>
      <c r="B1199" s="9" t="s">
        <v>49</v>
      </c>
      <c r="C1199" s="9" t="s">
        <v>97</v>
      </c>
      <c r="D1199" s="9">
        <v>32</v>
      </c>
      <c r="E1199" s="11" t="s">
        <v>107</v>
      </c>
      <c r="F1199" s="11" t="str">
        <f t="shared" si="18"/>
        <v>No</v>
      </c>
    </row>
    <row r="1200" spans="1:6" x14ac:dyDescent="0.3">
      <c r="A1200" s="9" t="s">
        <v>24</v>
      </c>
      <c r="B1200" s="9" t="s">
        <v>50</v>
      </c>
      <c r="C1200" s="9" t="s">
        <v>97</v>
      </c>
      <c r="D1200" s="9">
        <v>9</v>
      </c>
      <c r="E1200" s="11" t="s">
        <v>107</v>
      </c>
      <c r="F1200" s="11" t="str">
        <f t="shared" si="18"/>
        <v>No</v>
      </c>
    </row>
    <row r="1201" spans="1:6" x14ac:dyDescent="0.3">
      <c r="A1201" s="9" t="s">
        <v>24</v>
      </c>
      <c r="B1201" s="9" t="s">
        <v>51</v>
      </c>
      <c r="C1201" s="9" t="s">
        <v>99</v>
      </c>
      <c r="D1201" s="9">
        <v>5024</v>
      </c>
      <c r="E1201" s="11" t="s">
        <v>106</v>
      </c>
      <c r="F1201" s="11" t="str">
        <f t="shared" si="18"/>
        <v>Yes</v>
      </c>
    </row>
    <row r="1202" spans="1:6" x14ac:dyDescent="0.3">
      <c r="A1202" s="9" t="s">
        <v>24</v>
      </c>
      <c r="B1202" s="9" t="s">
        <v>52</v>
      </c>
      <c r="C1202" s="9" t="s">
        <v>99</v>
      </c>
      <c r="D1202" s="9">
        <v>5009</v>
      </c>
      <c r="E1202" s="11" t="s">
        <v>107</v>
      </c>
      <c r="F1202" s="11" t="str">
        <f t="shared" si="18"/>
        <v>No</v>
      </c>
    </row>
    <row r="1203" spans="1:6" x14ac:dyDescent="0.3">
      <c r="A1203" s="9" t="s">
        <v>24</v>
      </c>
      <c r="B1203" s="9" t="s">
        <v>53</v>
      </c>
      <c r="C1203" s="9" t="s">
        <v>99</v>
      </c>
      <c r="D1203" s="9">
        <v>15</v>
      </c>
      <c r="E1203" s="11" t="s">
        <v>107</v>
      </c>
      <c r="F1203" s="11" t="str">
        <f t="shared" si="18"/>
        <v>No</v>
      </c>
    </row>
    <row r="1204" spans="1:6" x14ac:dyDescent="0.3">
      <c r="A1204" s="9" t="s">
        <v>24</v>
      </c>
      <c r="B1204" s="9" t="s">
        <v>54</v>
      </c>
      <c r="C1204" s="9" t="s">
        <v>98</v>
      </c>
      <c r="D1204" s="9">
        <v>957</v>
      </c>
      <c r="E1204" s="11" t="s">
        <v>106</v>
      </c>
      <c r="F1204" s="11" t="str">
        <f t="shared" si="18"/>
        <v>Yes</v>
      </c>
    </row>
    <row r="1205" spans="1:6" x14ac:dyDescent="0.3">
      <c r="A1205" s="9" t="s">
        <v>24</v>
      </c>
      <c r="B1205" s="9" t="s">
        <v>55</v>
      </c>
      <c r="C1205" s="9" t="s">
        <v>98</v>
      </c>
      <c r="D1205" s="9">
        <v>957</v>
      </c>
      <c r="E1205" s="11" t="s">
        <v>107</v>
      </c>
      <c r="F1205" s="11" t="str">
        <f t="shared" si="18"/>
        <v>No</v>
      </c>
    </row>
    <row r="1206" spans="1:6" x14ac:dyDescent="0.3">
      <c r="A1206" s="9" t="s">
        <v>24</v>
      </c>
      <c r="B1206" s="9" t="s">
        <v>56</v>
      </c>
      <c r="C1206" s="9" t="s">
        <v>98</v>
      </c>
      <c r="D1206" s="9">
        <v>0</v>
      </c>
      <c r="E1206" s="11" t="s">
        <v>107</v>
      </c>
      <c r="F1206" s="11" t="str">
        <f t="shared" si="18"/>
        <v>No</v>
      </c>
    </row>
    <row r="1207" spans="1:6" x14ac:dyDescent="0.3">
      <c r="A1207" s="9" t="s">
        <v>24</v>
      </c>
      <c r="B1207" s="9" t="s">
        <v>74</v>
      </c>
      <c r="C1207" s="9" t="s">
        <v>74</v>
      </c>
      <c r="D1207" s="9">
        <v>4</v>
      </c>
      <c r="E1207" s="11" t="s">
        <v>105</v>
      </c>
      <c r="F1207" s="11" t="str">
        <f t="shared" si="18"/>
        <v>Yes</v>
      </c>
    </row>
    <row r="1208" spans="1:6" x14ac:dyDescent="0.3">
      <c r="A1208" s="9" t="s">
        <v>24</v>
      </c>
      <c r="B1208" s="9" t="s">
        <v>57</v>
      </c>
      <c r="C1208" s="9" t="s">
        <v>100</v>
      </c>
      <c r="D1208" s="9">
        <v>57</v>
      </c>
      <c r="E1208" s="11" t="s">
        <v>106</v>
      </c>
      <c r="F1208" s="11" t="str">
        <f t="shared" si="18"/>
        <v>Yes</v>
      </c>
    </row>
    <row r="1209" spans="1:6" x14ac:dyDescent="0.3">
      <c r="A1209" s="9" t="s">
        <v>24</v>
      </c>
      <c r="B1209" s="9" t="s">
        <v>76</v>
      </c>
      <c r="C1209" s="9" t="s">
        <v>100</v>
      </c>
      <c r="D1209" s="9">
        <v>15</v>
      </c>
      <c r="E1209" s="11" t="s">
        <v>107</v>
      </c>
      <c r="F1209" s="11" t="str">
        <f t="shared" si="18"/>
        <v>No</v>
      </c>
    </row>
    <row r="1210" spans="1:6" x14ac:dyDescent="0.3">
      <c r="A1210" s="9" t="s">
        <v>24</v>
      </c>
      <c r="B1210" s="9" t="s">
        <v>58</v>
      </c>
      <c r="C1210" s="9" t="s">
        <v>100</v>
      </c>
      <c r="D1210" s="9">
        <v>0</v>
      </c>
      <c r="E1210" s="11" t="s">
        <v>107</v>
      </c>
      <c r="F1210" s="11" t="str">
        <f t="shared" si="18"/>
        <v>No</v>
      </c>
    </row>
    <row r="1211" spans="1:6" x14ac:dyDescent="0.3">
      <c r="A1211" s="9" t="s">
        <v>24</v>
      </c>
      <c r="B1211" s="9" t="s">
        <v>59</v>
      </c>
      <c r="C1211" s="9" t="s">
        <v>100</v>
      </c>
      <c r="D1211" s="9">
        <v>0</v>
      </c>
      <c r="E1211" s="11" t="s">
        <v>107</v>
      </c>
      <c r="F1211" s="11" t="str">
        <f t="shared" si="18"/>
        <v>No</v>
      </c>
    </row>
    <row r="1212" spans="1:6" x14ac:dyDescent="0.3">
      <c r="A1212" s="9" t="s">
        <v>24</v>
      </c>
      <c r="B1212" s="9" t="s">
        <v>60</v>
      </c>
      <c r="C1212" s="9" t="s">
        <v>100</v>
      </c>
      <c r="D1212" s="9">
        <v>1</v>
      </c>
      <c r="E1212" s="11" t="s">
        <v>107</v>
      </c>
      <c r="F1212" s="11" t="str">
        <f t="shared" si="18"/>
        <v>No</v>
      </c>
    </row>
    <row r="1213" spans="1:6" x14ac:dyDescent="0.3">
      <c r="A1213" s="9" t="s">
        <v>24</v>
      </c>
      <c r="B1213" s="9" t="s">
        <v>61</v>
      </c>
      <c r="C1213" s="9" t="s">
        <v>100</v>
      </c>
      <c r="D1213" s="9">
        <v>41</v>
      </c>
      <c r="E1213" s="11" t="s">
        <v>107</v>
      </c>
      <c r="F1213" s="11" t="str">
        <f t="shared" si="18"/>
        <v>No</v>
      </c>
    </row>
    <row r="1214" spans="1:6" x14ac:dyDescent="0.3">
      <c r="A1214" s="9" t="s">
        <v>24</v>
      </c>
      <c r="B1214" s="9" t="s">
        <v>78</v>
      </c>
      <c r="C1214" s="9" t="s">
        <v>95</v>
      </c>
      <c r="D1214" s="9">
        <v>0</v>
      </c>
      <c r="E1214" s="11" t="s">
        <v>105</v>
      </c>
      <c r="F1214" s="11" t="str">
        <f t="shared" si="18"/>
        <v>Yes</v>
      </c>
    </row>
    <row r="1215" spans="1:6" x14ac:dyDescent="0.3">
      <c r="A1215" s="9" t="s">
        <v>24</v>
      </c>
      <c r="B1215" s="9" t="s">
        <v>62</v>
      </c>
      <c r="C1215" s="9" t="s">
        <v>101</v>
      </c>
      <c r="D1215" s="9">
        <v>120</v>
      </c>
      <c r="E1215" s="11" t="s">
        <v>106</v>
      </c>
      <c r="F1215" s="11" t="str">
        <f t="shared" si="18"/>
        <v>Yes</v>
      </c>
    </row>
    <row r="1216" spans="1:6" x14ac:dyDescent="0.3">
      <c r="A1216" s="9" t="s">
        <v>24</v>
      </c>
      <c r="B1216" s="9" t="s">
        <v>63</v>
      </c>
      <c r="C1216" s="9" t="s">
        <v>101</v>
      </c>
      <c r="D1216" s="9">
        <v>78</v>
      </c>
      <c r="E1216" s="11" t="s">
        <v>107</v>
      </c>
      <c r="F1216" s="11" t="str">
        <f t="shared" si="18"/>
        <v>No</v>
      </c>
    </row>
    <row r="1217" spans="1:6" x14ac:dyDescent="0.3">
      <c r="A1217" s="9" t="s">
        <v>24</v>
      </c>
      <c r="B1217" s="9" t="s">
        <v>64</v>
      </c>
      <c r="C1217" s="9" t="s">
        <v>101</v>
      </c>
      <c r="D1217" s="9">
        <v>42</v>
      </c>
      <c r="E1217" s="11" t="s">
        <v>107</v>
      </c>
      <c r="F1217" s="11" t="str">
        <f t="shared" si="18"/>
        <v>No</v>
      </c>
    </row>
    <row r="1218" spans="1:6" x14ac:dyDescent="0.3">
      <c r="A1218" s="9" t="s">
        <v>24</v>
      </c>
      <c r="B1218" s="9" t="s">
        <v>77</v>
      </c>
      <c r="C1218" s="9" t="s">
        <v>102</v>
      </c>
      <c r="D1218" s="9">
        <v>3128</v>
      </c>
      <c r="E1218" s="11" t="s">
        <v>106</v>
      </c>
      <c r="F1218" s="11" t="str">
        <f t="shared" ref="F1218:F1281" si="19">IF(E1218="Standalone","Yes",IF(AND(E1218="Total",OR(B1218="Kidnapping &amp; Abduction (Total)",B1218="Rape (Total)",B1218="Attempt to Rape (Total)",B1218="Assault to Outrage Modesty (Total)",B1218="Insult to Modesty (Total)",B1218="Immoral Traffic (Prevention) Act (Total)",B1218="Women-Centric Cyber Crime (Total)",B1218="POCSO (Protection of Children from Sexual Offences Act) (Total)")),"Yes","No"))</f>
        <v>Yes</v>
      </c>
    </row>
    <row r="1219" spans="1:6" x14ac:dyDescent="0.3">
      <c r="A1219" s="9" t="s">
        <v>24</v>
      </c>
      <c r="B1219" s="9" t="s">
        <v>65</v>
      </c>
      <c r="C1219" s="9" t="s">
        <v>102</v>
      </c>
      <c r="D1219" s="9">
        <v>1758</v>
      </c>
      <c r="E1219" s="11" t="s">
        <v>107</v>
      </c>
      <c r="F1219" s="11" t="str">
        <f t="shared" si="19"/>
        <v>No</v>
      </c>
    </row>
    <row r="1220" spans="1:6" x14ac:dyDescent="0.3">
      <c r="A1220" s="9" t="s">
        <v>24</v>
      </c>
      <c r="B1220" s="9" t="s">
        <v>66</v>
      </c>
      <c r="C1220" s="9" t="s">
        <v>102</v>
      </c>
      <c r="D1220" s="9">
        <v>1232</v>
      </c>
      <c r="E1220" s="11" t="s">
        <v>107</v>
      </c>
      <c r="F1220" s="11" t="str">
        <f t="shared" si="19"/>
        <v>No</v>
      </c>
    </row>
    <row r="1221" spans="1:6" x14ac:dyDescent="0.3">
      <c r="A1221" s="9" t="s">
        <v>24</v>
      </c>
      <c r="B1221" s="9" t="s">
        <v>67</v>
      </c>
      <c r="C1221" s="9" t="s">
        <v>102</v>
      </c>
      <c r="D1221" s="9">
        <v>98</v>
      </c>
      <c r="E1221" s="11" t="s">
        <v>107</v>
      </c>
      <c r="F1221" s="11" t="str">
        <f t="shared" si="19"/>
        <v>No</v>
      </c>
    </row>
    <row r="1222" spans="1:6" x14ac:dyDescent="0.3">
      <c r="A1222" s="9" t="s">
        <v>24</v>
      </c>
      <c r="B1222" s="9" t="s">
        <v>68</v>
      </c>
      <c r="C1222" s="9" t="s">
        <v>102</v>
      </c>
      <c r="D1222" s="9">
        <v>28</v>
      </c>
      <c r="E1222" s="11" t="s">
        <v>107</v>
      </c>
      <c r="F1222" s="11" t="str">
        <f t="shared" si="19"/>
        <v>No</v>
      </c>
    </row>
    <row r="1223" spans="1:6" x14ac:dyDescent="0.3">
      <c r="A1223" s="9" t="s">
        <v>24</v>
      </c>
      <c r="B1223" s="9" t="s">
        <v>69</v>
      </c>
      <c r="C1223" s="9" t="s">
        <v>102</v>
      </c>
      <c r="D1223" s="9">
        <v>12</v>
      </c>
      <c r="E1223" s="11" t="s">
        <v>107</v>
      </c>
      <c r="F1223" s="11" t="str">
        <f t="shared" si="19"/>
        <v>No</v>
      </c>
    </row>
    <row r="1224" spans="1:6" x14ac:dyDescent="0.3">
      <c r="A1224" s="9" t="s">
        <v>24</v>
      </c>
      <c r="B1224" s="9" t="s">
        <v>70</v>
      </c>
      <c r="C1224" s="9" t="s">
        <v>102</v>
      </c>
      <c r="D1224" s="9">
        <v>0</v>
      </c>
      <c r="E1224" s="11" t="s">
        <v>107</v>
      </c>
      <c r="F1224" s="11" t="str">
        <f t="shared" si="19"/>
        <v>No</v>
      </c>
    </row>
    <row r="1225" spans="1:6" x14ac:dyDescent="0.3">
      <c r="A1225" s="9" t="s">
        <v>24</v>
      </c>
      <c r="B1225" s="9" t="s">
        <v>75</v>
      </c>
      <c r="C1225" s="9" t="s">
        <v>103</v>
      </c>
      <c r="D1225" s="9">
        <v>0</v>
      </c>
      <c r="E1225" s="11" t="s">
        <v>105</v>
      </c>
      <c r="F1225" s="11" t="str">
        <f t="shared" si="19"/>
        <v>Yes</v>
      </c>
    </row>
    <row r="1226" spans="1:6" x14ac:dyDescent="0.3">
      <c r="A1226" s="9" t="s">
        <v>25</v>
      </c>
      <c r="B1226" s="9" t="s">
        <v>88</v>
      </c>
      <c r="C1226" s="9" t="s">
        <v>92</v>
      </c>
      <c r="D1226" s="9">
        <v>0</v>
      </c>
      <c r="E1226" s="11" t="s">
        <v>105</v>
      </c>
      <c r="F1226" s="11" t="str">
        <f t="shared" si="19"/>
        <v>Yes</v>
      </c>
    </row>
    <row r="1227" spans="1:6" x14ac:dyDescent="0.3">
      <c r="A1227" s="9" t="s">
        <v>25</v>
      </c>
      <c r="B1227" s="9" t="s">
        <v>38</v>
      </c>
      <c r="C1227" s="9" t="s">
        <v>93</v>
      </c>
      <c r="D1227" s="9">
        <v>21</v>
      </c>
      <c r="E1227" s="11" t="s">
        <v>105</v>
      </c>
      <c r="F1227" s="11" t="str">
        <f t="shared" si="19"/>
        <v>Yes</v>
      </c>
    </row>
    <row r="1228" spans="1:6" x14ac:dyDescent="0.3">
      <c r="A1228" s="9" t="s">
        <v>25</v>
      </c>
      <c r="B1228" s="9" t="s">
        <v>87</v>
      </c>
      <c r="C1228" s="9" t="s">
        <v>94</v>
      </c>
      <c r="D1228" s="9">
        <v>14</v>
      </c>
      <c r="E1228" s="11" t="s">
        <v>105</v>
      </c>
      <c r="F1228" s="11" t="str">
        <f t="shared" si="19"/>
        <v>Yes</v>
      </c>
    </row>
    <row r="1229" spans="1:6" x14ac:dyDescent="0.3">
      <c r="A1229" s="9" t="s">
        <v>25</v>
      </c>
      <c r="B1229" s="9" t="s">
        <v>86</v>
      </c>
      <c r="C1229" s="9" t="s">
        <v>86</v>
      </c>
      <c r="D1229" s="9">
        <v>0</v>
      </c>
      <c r="E1229" s="11" t="s">
        <v>105</v>
      </c>
      <c r="F1229" s="11" t="str">
        <f t="shared" si="19"/>
        <v>Yes</v>
      </c>
    </row>
    <row r="1230" spans="1:6" x14ac:dyDescent="0.3">
      <c r="A1230" s="9" t="s">
        <v>25</v>
      </c>
      <c r="B1230" s="9" t="s">
        <v>85</v>
      </c>
      <c r="C1230" s="9" t="s">
        <v>85</v>
      </c>
      <c r="D1230" s="9">
        <v>0</v>
      </c>
      <c r="E1230" s="11" t="s">
        <v>105</v>
      </c>
      <c r="F1230" s="11" t="str">
        <f t="shared" si="19"/>
        <v>Yes</v>
      </c>
    </row>
    <row r="1231" spans="1:6" x14ac:dyDescent="0.3">
      <c r="A1231" s="9" t="s">
        <v>25</v>
      </c>
      <c r="B1231" s="9" t="s">
        <v>84</v>
      </c>
      <c r="C1231" s="9" t="s">
        <v>85</v>
      </c>
      <c r="D1231" s="9">
        <v>0</v>
      </c>
      <c r="E1231" s="11" t="s">
        <v>105</v>
      </c>
      <c r="F1231" s="11" t="str">
        <f t="shared" si="19"/>
        <v>Yes</v>
      </c>
    </row>
    <row r="1232" spans="1:6" x14ac:dyDescent="0.3">
      <c r="A1232" s="9" t="s">
        <v>25</v>
      </c>
      <c r="B1232" s="9" t="s">
        <v>83</v>
      </c>
      <c r="C1232" s="9" t="s">
        <v>95</v>
      </c>
      <c r="D1232" s="9">
        <v>319</v>
      </c>
      <c r="E1232" s="11" t="s">
        <v>105</v>
      </c>
      <c r="F1232" s="11" t="str">
        <f t="shared" si="19"/>
        <v>Yes</v>
      </c>
    </row>
    <row r="1233" spans="1:6" x14ac:dyDescent="0.3">
      <c r="A1233" s="9" t="s">
        <v>25</v>
      </c>
      <c r="B1233" s="9" t="s">
        <v>39</v>
      </c>
      <c r="C1233" s="9" t="s">
        <v>40</v>
      </c>
      <c r="D1233" s="9">
        <v>111</v>
      </c>
      <c r="E1233" s="11" t="s">
        <v>106</v>
      </c>
      <c r="F1233" s="11" t="str">
        <f t="shared" si="19"/>
        <v>Yes</v>
      </c>
    </row>
    <row r="1234" spans="1:6" x14ac:dyDescent="0.3">
      <c r="A1234" s="9" t="s">
        <v>25</v>
      </c>
      <c r="B1234" s="9" t="s">
        <v>40</v>
      </c>
      <c r="C1234" s="9" t="s">
        <v>40</v>
      </c>
      <c r="D1234" s="9">
        <v>36</v>
      </c>
      <c r="E1234" s="11" t="s">
        <v>107</v>
      </c>
      <c r="F1234" s="11" t="str">
        <f t="shared" si="19"/>
        <v>No</v>
      </c>
    </row>
    <row r="1235" spans="1:6" x14ac:dyDescent="0.3">
      <c r="A1235" s="9" t="s">
        <v>25</v>
      </c>
      <c r="B1235" s="9" t="s">
        <v>41</v>
      </c>
      <c r="C1235" s="9" t="s">
        <v>40</v>
      </c>
      <c r="D1235" s="9">
        <v>1</v>
      </c>
      <c r="E1235" s="11" t="s">
        <v>107</v>
      </c>
      <c r="F1235" s="11" t="str">
        <f t="shared" si="19"/>
        <v>No</v>
      </c>
    </row>
    <row r="1236" spans="1:6" x14ac:dyDescent="0.3">
      <c r="A1236" s="9" t="s">
        <v>25</v>
      </c>
      <c r="B1236" s="9" t="s">
        <v>42</v>
      </c>
      <c r="C1236" s="9" t="s">
        <v>40</v>
      </c>
      <c r="D1236" s="9">
        <v>0</v>
      </c>
      <c r="E1236" s="11" t="s">
        <v>107</v>
      </c>
      <c r="F1236" s="11" t="str">
        <f t="shared" si="19"/>
        <v>No</v>
      </c>
    </row>
    <row r="1237" spans="1:6" x14ac:dyDescent="0.3">
      <c r="A1237" s="9" t="s">
        <v>25</v>
      </c>
      <c r="B1237" s="9" t="s">
        <v>43</v>
      </c>
      <c r="C1237" s="9" t="s">
        <v>40</v>
      </c>
      <c r="D1237" s="9">
        <v>29</v>
      </c>
      <c r="E1237" s="11" t="s">
        <v>106</v>
      </c>
      <c r="F1237" s="11" t="str">
        <f t="shared" si="19"/>
        <v>No</v>
      </c>
    </row>
    <row r="1238" spans="1:6" x14ac:dyDescent="0.3">
      <c r="A1238" s="9" t="s">
        <v>25</v>
      </c>
      <c r="B1238" s="9" t="s">
        <v>44</v>
      </c>
      <c r="C1238" s="9" t="s">
        <v>40</v>
      </c>
      <c r="D1238" s="9">
        <v>8</v>
      </c>
      <c r="E1238" s="11" t="s">
        <v>107</v>
      </c>
      <c r="F1238" s="11" t="str">
        <f t="shared" si="19"/>
        <v>No</v>
      </c>
    </row>
    <row r="1239" spans="1:6" x14ac:dyDescent="0.3">
      <c r="A1239" s="9" t="s">
        <v>25</v>
      </c>
      <c r="B1239" s="9" t="s">
        <v>45</v>
      </c>
      <c r="C1239" s="9" t="s">
        <v>40</v>
      </c>
      <c r="D1239" s="9">
        <v>21</v>
      </c>
      <c r="E1239" s="11" t="s">
        <v>107</v>
      </c>
      <c r="F1239" s="11" t="str">
        <f t="shared" si="19"/>
        <v>No</v>
      </c>
    </row>
    <row r="1240" spans="1:6" x14ac:dyDescent="0.3">
      <c r="A1240" s="9" t="s">
        <v>25</v>
      </c>
      <c r="B1240" s="9" t="s">
        <v>71</v>
      </c>
      <c r="C1240" s="9" t="s">
        <v>40</v>
      </c>
      <c r="D1240" s="9">
        <v>44</v>
      </c>
      <c r="E1240" s="11" t="s">
        <v>105</v>
      </c>
      <c r="F1240" s="11" t="str">
        <f t="shared" si="19"/>
        <v>Yes</v>
      </c>
    </row>
    <row r="1241" spans="1:6" x14ac:dyDescent="0.3">
      <c r="A1241" s="9" t="s">
        <v>25</v>
      </c>
      <c r="B1241" s="9" t="s">
        <v>72</v>
      </c>
      <c r="C1241" s="9" t="s">
        <v>40</v>
      </c>
      <c r="D1241" s="9">
        <v>0</v>
      </c>
      <c r="E1241" s="11" t="s">
        <v>105</v>
      </c>
      <c r="F1241" s="11" t="str">
        <f t="shared" si="19"/>
        <v>Yes</v>
      </c>
    </row>
    <row r="1242" spans="1:6" x14ac:dyDescent="0.3">
      <c r="A1242" s="9" t="s">
        <v>25</v>
      </c>
      <c r="B1242" s="9" t="s">
        <v>82</v>
      </c>
      <c r="C1242" s="9" t="s">
        <v>40</v>
      </c>
      <c r="D1242" s="9">
        <v>1</v>
      </c>
      <c r="E1242" s="11" t="s">
        <v>105</v>
      </c>
      <c r="F1242" s="11" t="str">
        <f t="shared" si="19"/>
        <v>Yes</v>
      </c>
    </row>
    <row r="1243" spans="1:6" x14ac:dyDescent="0.3">
      <c r="A1243" s="9" t="s">
        <v>25</v>
      </c>
      <c r="B1243" s="9" t="s">
        <v>81</v>
      </c>
      <c r="C1243" s="9" t="s">
        <v>81</v>
      </c>
      <c r="D1243" s="9">
        <v>5</v>
      </c>
      <c r="E1243" s="11" t="s">
        <v>105</v>
      </c>
      <c r="F1243" s="11" t="str">
        <f t="shared" si="19"/>
        <v>Yes</v>
      </c>
    </row>
    <row r="1244" spans="1:6" x14ac:dyDescent="0.3">
      <c r="A1244" s="9" t="s">
        <v>25</v>
      </c>
      <c r="B1244" s="9" t="s">
        <v>73</v>
      </c>
      <c r="C1244" s="9" t="s">
        <v>81</v>
      </c>
      <c r="D1244" s="9">
        <v>0</v>
      </c>
      <c r="E1244" s="11" t="s">
        <v>105</v>
      </c>
      <c r="F1244" s="11" t="str">
        <f t="shared" si="19"/>
        <v>Yes</v>
      </c>
    </row>
    <row r="1245" spans="1:6" x14ac:dyDescent="0.3">
      <c r="A1245" s="9" t="s">
        <v>25</v>
      </c>
      <c r="B1245" s="9" t="s">
        <v>80</v>
      </c>
      <c r="C1245" s="9" t="s">
        <v>81</v>
      </c>
      <c r="D1245" s="9">
        <v>0</v>
      </c>
      <c r="E1245" s="11" t="s">
        <v>105</v>
      </c>
      <c r="F1245" s="11" t="str">
        <f t="shared" si="19"/>
        <v>Yes</v>
      </c>
    </row>
    <row r="1246" spans="1:6" x14ac:dyDescent="0.3">
      <c r="A1246" s="9" t="s">
        <v>25</v>
      </c>
      <c r="B1246" s="9" t="s">
        <v>79</v>
      </c>
      <c r="C1246" s="9" t="s">
        <v>96</v>
      </c>
      <c r="D1246" s="9">
        <v>57</v>
      </c>
      <c r="E1246" s="11" t="s">
        <v>106</v>
      </c>
      <c r="F1246" s="11" t="str">
        <f t="shared" si="19"/>
        <v>Yes</v>
      </c>
    </row>
    <row r="1247" spans="1:6" x14ac:dyDescent="0.3">
      <c r="A1247" s="9" t="s">
        <v>25</v>
      </c>
      <c r="B1247" s="9" t="s">
        <v>46</v>
      </c>
      <c r="C1247" s="9" t="s">
        <v>96</v>
      </c>
      <c r="D1247" s="9">
        <v>57</v>
      </c>
      <c r="E1247" s="11" t="s">
        <v>107</v>
      </c>
      <c r="F1247" s="11" t="str">
        <f t="shared" si="19"/>
        <v>No</v>
      </c>
    </row>
    <row r="1248" spans="1:6" x14ac:dyDescent="0.3">
      <c r="A1248" s="9" t="s">
        <v>25</v>
      </c>
      <c r="B1248" s="9" t="s">
        <v>47</v>
      </c>
      <c r="C1248" s="9" t="s">
        <v>96</v>
      </c>
      <c r="D1248" s="9">
        <v>0</v>
      </c>
      <c r="E1248" s="11" t="s">
        <v>107</v>
      </c>
      <c r="F1248" s="11" t="str">
        <f t="shared" si="19"/>
        <v>No</v>
      </c>
    </row>
    <row r="1249" spans="1:6" x14ac:dyDescent="0.3">
      <c r="A1249" s="9" t="s">
        <v>25</v>
      </c>
      <c r="B1249" s="9" t="s">
        <v>48</v>
      </c>
      <c r="C1249" s="9" t="s">
        <v>97</v>
      </c>
      <c r="D1249" s="9">
        <v>5</v>
      </c>
      <c r="E1249" s="11" t="s">
        <v>106</v>
      </c>
      <c r="F1249" s="11" t="str">
        <f t="shared" si="19"/>
        <v>Yes</v>
      </c>
    </row>
    <row r="1250" spans="1:6" x14ac:dyDescent="0.3">
      <c r="A1250" s="9" t="s">
        <v>25</v>
      </c>
      <c r="B1250" s="9" t="s">
        <v>49</v>
      </c>
      <c r="C1250" s="9" t="s">
        <v>97</v>
      </c>
      <c r="D1250" s="9">
        <v>5</v>
      </c>
      <c r="E1250" s="11" t="s">
        <v>107</v>
      </c>
      <c r="F1250" s="11" t="str">
        <f t="shared" si="19"/>
        <v>No</v>
      </c>
    </row>
    <row r="1251" spans="1:6" x14ac:dyDescent="0.3">
      <c r="A1251" s="9" t="s">
        <v>25</v>
      </c>
      <c r="B1251" s="9" t="s">
        <v>50</v>
      </c>
      <c r="C1251" s="9" t="s">
        <v>97</v>
      </c>
      <c r="D1251" s="9">
        <v>0</v>
      </c>
      <c r="E1251" s="11" t="s">
        <v>107</v>
      </c>
      <c r="F1251" s="11" t="str">
        <f t="shared" si="19"/>
        <v>No</v>
      </c>
    </row>
    <row r="1252" spans="1:6" x14ac:dyDescent="0.3">
      <c r="A1252" s="9" t="s">
        <v>25</v>
      </c>
      <c r="B1252" s="9" t="s">
        <v>51</v>
      </c>
      <c r="C1252" s="9" t="s">
        <v>99</v>
      </c>
      <c r="D1252" s="9">
        <v>110</v>
      </c>
      <c r="E1252" s="11" t="s">
        <v>106</v>
      </c>
      <c r="F1252" s="11" t="str">
        <f t="shared" si="19"/>
        <v>Yes</v>
      </c>
    </row>
    <row r="1253" spans="1:6" x14ac:dyDescent="0.3">
      <c r="A1253" s="9" t="s">
        <v>25</v>
      </c>
      <c r="B1253" s="9" t="s">
        <v>52</v>
      </c>
      <c r="C1253" s="9" t="s">
        <v>99</v>
      </c>
      <c r="D1253" s="9">
        <v>109</v>
      </c>
      <c r="E1253" s="11" t="s">
        <v>107</v>
      </c>
      <c r="F1253" s="11" t="str">
        <f t="shared" si="19"/>
        <v>No</v>
      </c>
    </row>
    <row r="1254" spans="1:6" x14ac:dyDescent="0.3">
      <c r="A1254" s="9" t="s">
        <v>25</v>
      </c>
      <c r="B1254" s="9" t="s">
        <v>53</v>
      </c>
      <c r="C1254" s="9" t="s">
        <v>99</v>
      </c>
      <c r="D1254" s="9">
        <v>1</v>
      </c>
      <c r="E1254" s="11" t="s">
        <v>107</v>
      </c>
      <c r="F1254" s="11" t="str">
        <f t="shared" si="19"/>
        <v>No</v>
      </c>
    </row>
    <row r="1255" spans="1:6" x14ac:dyDescent="0.3">
      <c r="A1255" s="9" t="s">
        <v>25</v>
      </c>
      <c r="B1255" s="9" t="s">
        <v>54</v>
      </c>
      <c r="C1255" s="9" t="s">
        <v>98</v>
      </c>
      <c r="D1255" s="9">
        <v>3</v>
      </c>
      <c r="E1255" s="11" t="s">
        <v>106</v>
      </c>
      <c r="F1255" s="11" t="str">
        <f t="shared" si="19"/>
        <v>Yes</v>
      </c>
    </row>
    <row r="1256" spans="1:6" x14ac:dyDescent="0.3">
      <c r="A1256" s="9" t="s">
        <v>25</v>
      </c>
      <c r="B1256" s="9" t="s">
        <v>55</v>
      </c>
      <c r="C1256" s="9" t="s">
        <v>98</v>
      </c>
      <c r="D1256" s="9">
        <v>3</v>
      </c>
      <c r="E1256" s="11" t="s">
        <v>107</v>
      </c>
      <c r="F1256" s="11" t="str">
        <f t="shared" si="19"/>
        <v>No</v>
      </c>
    </row>
    <row r="1257" spans="1:6" x14ac:dyDescent="0.3">
      <c r="A1257" s="9" t="s">
        <v>25</v>
      </c>
      <c r="B1257" s="9" t="s">
        <v>56</v>
      </c>
      <c r="C1257" s="9" t="s">
        <v>98</v>
      </c>
      <c r="D1257" s="9">
        <v>0</v>
      </c>
      <c r="E1257" s="11" t="s">
        <v>107</v>
      </c>
      <c r="F1257" s="11" t="str">
        <f t="shared" si="19"/>
        <v>No</v>
      </c>
    </row>
    <row r="1258" spans="1:6" x14ac:dyDescent="0.3">
      <c r="A1258" s="9" t="s">
        <v>25</v>
      </c>
      <c r="B1258" s="9" t="s">
        <v>74</v>
      </c>
      <c r="C1258" s="9" t="s">
        <v>74</v>
      </c>
      <c r="D1258" s="9">
        <v>0</v>
      </c>
      <c r="E1258" s="11" t="s">
        <v>105</v>
      </c>
      <c r="F1258" s="11" t="str">
        <f t="shared" si="19"/>
        <v>Yes</v>
      </c>
    </row>
    <row r="1259" spans="1:6" x14ac:dyDescent="0.3">
      <c r="A1259" s="9" t="s">
        <v>25</v>
      </c>
      <c r="B1259" s="9" t="s">
        <v>57</v>
      </c>
      <c r="C1259" s="9" t="s">
        <v>100</v>
      </c>
      <c r="D1259" s="9">
        <v>0</v>
      </c>
      <c r="E1259" s="11" t="s">
        <v>106</v>
      </c>
      <c r="F1259" s="11" t="str">
        <f t="shared" si="19"/>
        <v>Yes</v>
      </c>
    </row>
    <row r="1260" spans="1:6" x14ac:dyDescent="0.3">
      <c r="A1260" s="9" t="s">
        <v>25</v>
      </c>
      <c r="B1260" s="9" t="s">
        <v>76</v>
      </c>
      <c r="C1260" s="9" t="s">
        <v>100</v>
      </c>
      <c r="D1260" s="9">
        <v>0</v>
      </c>
      <c r="E1260" s="11" t="s">
        <v>107</v>
      </c>
      <c r="F1260" s="11" t="str">
        <f t="shared" si="19"/>
        <v>No</v>
      </c>
    </row>
    <row r="1261" spans="1:6" x14ac:dyDescent="0.3">
      <c r="A1261" s="9" t="s">
        <v>25</v>
      </c>
      <c r="B1261" s="9" t="s">
        <v>58</v>
      </c>
      <c r="C1261" s="9" t="s">
        <v>100</v>
      </c>
      <c r="D1261" s="9">
        <v>0</v>
      </c>
      <c r="E1261" s="11" t="s">
        <v>107</v>
      </c>
      <c r="F1261" s="11" t="str">
        <f t="shared" si="19"/>
        <v>No</v>
      </c>
    </row>
    <row r="1262" spans="1:6" x14ac:dyDescent="0.3">
      <c r="A1262" s="9" t="s">
        <v>25</v>
      </c>
      <c r="B1262" s="9" t="s">
        <v>59</v>
      </c>
      <c r="C1262" s="9" t="s">
        <v>100</v>
      </c>
      <c r="D1262" s="9">
        <v>0</v>
      </c>
      <c r="E1262" s="11" t="s">
        <v>107</v>
      </c>
      <c r="F1262" s="11" t="str">
        <f t="shared" si="19"/>
        <v>No</v>
      </c>
    </row>
    <row r="1263" spans="1:6" x14ac:dyDescent="0.3">
      <c r="A1263" s="9" t="s">
        <v>25</v>
      </c>
      <c r="B1263" s="9" t="s">
        <v>60</v>
      </c>
      <c r="C1263" s="9" t="s">
        <v>100</v>
      </c>
      <c r="D1263" s="9">
        <v>0</v>
      </c>
      <c r="E1263" s="11" t="s">
        <v>107</v>
      </c>
      <c r="F1263" s="11" t="str">
        <f t="shared" si="19"/>
        <v>No</v>
      </c>
    </row>
    <row r="1264" spans="1:6" x14ac:dyDescent="0.3">
      <c r="A1264" s="9" t="s">
        <v>25</v>
      </c>
      <c r="B1264" s="9" t="s">
        <v>61</v>
      </c>
      <c r="C1264" s="9" t="s">
        <v>100</v>
      </c>
      <c r="D1264" s="9">
        <v>0</v>
      </c>
      <c r="E1264" s="11" t="s">
        <v>107</v>
      </c>
      <c r="F1264" s="11" t="str">
        <f t="shared" si="19"/>
        <v>No</v>
      </c>
    </row>
    <row r="1265" spans="1:6" x14ac:dyDescent="0.3">
      <c r="A1265" s="9" t="s">
        <v>25</v>
      </c>
      <c r="B1265" s="9" t="s">
        <v>78</v>
      </c>
      <c r="C1265" s="9" t="s">
        <v>95</v>
      </c>
      <c r="D1265" s="9">
        <v>1</v>
      </c>
      <c r="E1265" s="11" t="s">
        <v>105</v>
      </c>
      <c r="F1265" s="11" t="str">
        <f t="shared" si="19"/>
        <v>Yes</v>
      </c>
    </row>
    <row r="1266" spans="1:6" x14ac:dyDescent="0.3">
      <c r="A1266" s="9" t="s">
        <v>25</v>
      </c>
      <c r="B1266" s="9" t="s">
        <v>62</v>
      </c>
      <c r="C1266" s="9" t="s">
        <v>101</v>
      </c>
      <c r="D1266" s="9">
        <v>13</v>
      </c>
      <c r="E1266" s="11" t="s">
        <v>106</v>
      </c>
      <c r="F1266" s="11" t="str">
        <f t="shared" si="19"/>
        <v>Yes</v>
      </c>
    </row>
    <row r="1267" spans="1:6" x14ac:dyDescent="0.3">
      <c r="A1267" s="9" t="s">
        <v>25</v>
      </c>
      <c r="B1267" s="9" t="s">
        <v>63</v>
      </c>
      <c r="C1267" s="9" t="s">
        <v>101</v>
      </c>
      <c r="D1267" s="9">
        <v>13</v>
      </c>
      <c r="E1267" s="11" t="s">
        <v>107</v>
      </c>
      <c r="F1267" s="11" t="str">
        <f t="shared" si="19"/>
        <v>No</v>
      </c>
    </row>
    <row r="1268" spans="1:6" x14ac:dyDescent="0.3">
      <c r="A1268" s="9" t="s">
        <v>25</v>
      </c>
      <c r="B1268" s="9" t="s">
        <v>64</v>
      </c>
      <c r="C1268" s="9" t="s">
        <v>101</v>
      </c>
      <c r="D1268" s="9">
        <v>0</v>
      </c>
      <c r="E1268" s="11" t="s">
        <v>107</v>
      </c>
      <c r="F1268" s="11" t="str">
        <f t="shared" si="19"/>
        <v>No</v>
      </c>
    </row>
    <row r="1269" spans="1:6" x14ac:dyDescent="0.3">
      <c r="A1269" s="9" t="s">
        <v>25</v>
      </c>
      <c r="B1269" s="9" t="s">
        <v>77</v>
      </c>
      <c r="C1269" s="9" t="s">
        <v>102</v>
      </c>
      <c r="D1269" s="9">
        <v>132</v>
      </c>
      <c r="E1269" s="11" t="s">
        <v>106</v>
      </c>
      <c r="F1269" s="11" t="str">
        <f t="shared" si="19"/>
        <v>Yes</v>
      </c>
    </row>
    <row r="1270" spans="1:6" x14ac:dyDescent="0.3">
      <c r="A1270" s="9" t="s">
        <v>25</v>
      </c>
      <c r="B1270" s="9" t="s">
        <v>65</v>
      </c>
      <c r="C1270" s="9" t="s">
        <v>102</v>
      </c>
      <c r="D1270" s="9">
        <v>82</v>
      </c>
      <c r="E1270" s="11" t="s">
        <v>107</v>
      </c>
      <c r="F1270" s="11" t="str">
        <f t="shared" si="19"/>
        <v>No</v>
      </c>
    </row>
    <row r="1271" spans="1:6" x14ac:dyDescent="0.3">
      <c r="A1271" s="9" t="s">
        <v>25</v>
      </c>
      <c r="B1271" s="9" t="s">
        <v>66</v>
      </c>
      <c r="C1271" s="9" t="s">
        <v>102</v>
      </c>
      <c r="D1271" s="9">
        <v>41</v>
      </c>
      <c r="E1271" s="11" t="s">
        <v>107</v>
      </c>
      <c r="F1271" s="11" t="str">
        <f t="shared" si="19"/>
        <v>No</v>
      </c>
    </row>
    <row r="1272" spans="1:6" x14ac:dyDescent="0.3">
      <c r="A1272" s="9" t="s">
        <v>25</v>
      </c>
      <c r="B1272" s="9" t="s">
        <v>67</v>
      </c>
      <c r="C1272" s="9" t="s">
        <v>102</v>
      </c>
      <c r="D1272" s="9">
        <v>8</v>
      </c>
      <c r="E1272" s="11" t="s">
        <v>107</v>
      </c>
      <c r="F1272" s="11" t="str">
        <f t="shared" si="19"/>
        <v>No</v>
      </c>
    </row>
    <row r="1273" spans="1:6" x14ac:dyDescent="0.3">
      <c r="A1273" s="9" t="s">
        <v>25</v>
      </c>
      <c r="B1273" s="9" t="s">
        <v>68</v>
      </c>
      <c r="C1273" s="9" t="s">
        <v>102</v>
      </c>
      <c r="D1273" s="9">
        <v>1</v>
      </c>
      <c r="E1273" s="11" t="s">
        <v>107</v>
      </c>
      <c r="F1273" s="11" t="str">
        <f t="shared" si="19"/>
        <v>No</v>
      </c>
    </row>
    <row r="1274" spans="1:6" x14ac:dyDescent="0.3">
      <c r="A1274" s="9" t="s">
        <v>25</v>
      </c>
      <c r="B1274" s="9" t="s">
        <v>69</v>
      </c>
      <c r="C1274" s="9" t="s">
        <v>102</v>
      </c>
      <c r="D1274" s="9">
        <v>0</v>
      </c>
      <c r="E1274" s="11" t="s">
        <v>107</v>
      </c>
      <c r="F1274" s="11" t="str">
        <f t="shared" si="19"/>
        <v>No</v>
      </c>
    </row>
    <row r="1275" spans="1:6" x14ac:dyDescent="0.3">
      <c r="A1275" s="9" t="s">
        <v>25</v>
      </c>
      <c r="B1275" s="9" t="s">
        <v>70</v>
      </c>
      <c r="C1275" s="9" t="s">
        <v>102</v>
      </c>
      <c r="D1275" s="9">
        <v>0</v>
      </c>
      <c r="E1275" s="11" t="s">
        <v>107</v>
      </c>
      <c r="F1275" s="11" t="str">
        <f t="shared" si="19"/>
        <v>No</v>
      </c>
    </row>
    <row r="1276" spans="1:6" x14ac:dyDescent="0.3">
      <c r="A1276" s="9" t="s">
        <v>25</v>
      </c>
      <c r="B1276" s="9" t="s">
        <v>75</v>
      </c>
      <c r="C1276" s="9" t="s">
        <v>103</v>
      </c>
      <c r="D1276" s="9">
        <v>0</v>
      </c>
      <c r="E1276" s="11" t="s">
        <v>105</v>
      </c>
      <c r="F1276" s="11" t="str">
        <f t="shared" si="19"/>
        <v>Yes</v>
      </c>
    </row>
    <row r="1277" spans="1:6" x14ac:dyDescent="0.3">
      <c r="A1277" s="9" t="s">
        <v>26</v>
      </c>
      <c r="B1277" s="9" t="s">
        <v>88</v>
      </c>
      <c r="C1277" s="9" t="s">
        <v>92</v>
      </c>
      <c r="D1277" s="9">
        <v>33</v>
      </c>
      <c r="E1277" s="11" t="s">
        <v>105</v>
      </c>
      <c r="F1277" s="11" t="str">
        <f t="shared" si="19"/>
        <v>Yes</v>
      </c>
    </row>
    <row r="1278" spans="1:6" x14ac:dyDescent="0.3">
      <c r="A1278" s="9" t="s">
        <v>26</v>
      </c>
      <c r="B1278" s="9" t="s">
        <v>38</v>
      </c>
      <c r="C1278" s="9" t="s">
        <v>93</v>
      </c>
      <c r="D1278" s="9">
        <v>2122</v>
      </c>
      <c r="E1278" s="11" t="s">
        <v>105</v>
      </c>
      <c r="F1278" s="11" t="str">
        <f t="shared" si="19"/>
        <v>Yes</v>
      </c>
    </row>
    <row r="1279" spans="1:6" x14ac:dyDescent="0.3">
      <c r="A1279" s="9" t="s">
        <v>26</v>
      </c>
      <c r="B1279" s="9" t="s">
        <v>87</v>
      </c>
      <c r="C1279" s="9" t="s">
        <v>94</v>
      </c>
      <c r="D1279" s="9">
        <v>395</v>
      </c>
      <c r="E1279" s="11" t="s">
        <v>105</v>
      </c>
      <c r="F1279" s="11" t="str">
        <f t="shared" si="19"/>
        <v>Yes</v>
      </c>
    </row>
    <row r="1280" spans="1:6" x14ac:dyDescent="0.3">
      <c r="A1280" s="9" t="s">
        <v>26</v>
      </c>
      <c r="B1280" s="9" t="s">
        <v>86</v>
      </c>
      <c r="C1280" s="9" t="s">
        <v>86</v>
      </c>
      <c r="D1280" s="9">
        <v>106</v>
      </c>
      <c r="E1280" s="11" t="s">
        <v>105</v>
      </c>
      <c r="F1280" s="11" t="str">
        <f t="shared" si="19"/>
        <v>Yes</v>
      </c>
    </row>
    <row r="1281" spans="1:6" x14ac:dyDescent="0.3">
      <c r="A1281" s="9" t="s">
        <v>26</v>
      </c>
      <c r="B1281" s="9" t="s">
        <v>85</v>
      </c>
      <c r="C1281" s="9" t="s">
        <v>85</v>
      </c>
      <c r="D1281" s="9">
        <v>28</v>
      </c>
      <c r="E1281" s="11" t="s">
        <v>105</v>
      </c>
      <c r="F1281" s="11" t="str">
        <f t="shared" si="19"/>
        <v>Yes</v>
      </c>
    </row>
    <row r="1282" spans="1:6" x14ac:dyDescent="0.3">
      <c r="A1282" s="9" t="s">
        <v>26</v>
      </c>
      <c r="B1282" s="9" t="s">
        <v>84</v>
      </c>
      <c r="C1282" s="9" t="s">
        <v>85</v>
      </c>
      <c r="D1282" s="9">
        <v>4</v>
      </c>
      <c r="E1282" s="11" t="s">
        <v>105</v>
      </c>
      <c r="F1282" s="11" t="str">
        <f t="shared" ref="F1282:F1345" si="20">IF(E1282="Standalone","Yes",IF(AND(E1282="Total",OR(B1282="Kidnapping &amp; Abduction (Total)",B1282="Rape (Total)",B1282="Attempt to Rape (Total)",B1282="Assault to Outrage Modesty (Total)",B1282="Insult to Modesty (Total)",B1282="Immoral Traffic (Prevention) Act (Total)",B1282="Women-Centric Cyber Crime (Total)",B1282="POCSO (Protection of Children from Sexual Offences Act) (Total)")),"Yes","No"))</f>
        <v>Yes</v>
      </c>
    </row>
    <row r="1283" spans="1:6" x14ac:dyDescent="0.3">
      <c r="A1283" s="9" t="s">
        <v>26</v>
      </c>
      <c r="B1283" s="9" t="s">
        <v>83</v>
      </c>
      <c r="C1283" s="9" t="s">
        <v>95</v>
      </c>
      <c r="D1283" s="9">
        <v>19889</v>
      </c>
      <c r="E1283" s="11" t="s">
        <v>105</v>
      </c>
      <c r="F1283" s="11" t="str">
        <f t="shared" si="20"/>
        <v>Yes</v>
      </c>
    </row>
    <row r="1284" spans="1:6" x14ac:dyDescent="0.3">
      <c r="A1284" s="9" t="s">
        <v>26</v>
      </c>
      <c r="B1284" s="9" t="s">
        <v>39</v>
      </c>
      <c r="C1284" s="9" t="s">
        <v>40</v>
      </c>
      <c r="D1284" s="9">
        <v>14272</v>
      </c>
      <c r="E1284" s="11" t="s">
        <v>106</v>
      </c>
      <c r="F1284" s="11" t="str">
        <f t="shared" si="20"/>
        <v>Yes</v>
      </c>
    </row>
    <row r="1285" spans="1:6" x14ac:dyDescent="0.3">
      <c r="A1285" s="9" t="s">
        <v>26</v>
      </c>
      <c r="B1285" s="9" t="s">
        <v>40</v>
      </c>
      <c r="C1285" s="9" t="s">
        <v>40</v>
      </c>
      <c r="D1285" s="9">
        <v>3613</v>
      </c>
      <c r="E1285" s="11" t="s">
        <v>107</v>
      </c>
      <c r="F1285" s="11" t="str">
        <f t="shared" si="20"/>
        <v>No</v>
      </c>
    </row>
    <row r="1286" spans="1:6" x14ac:dyDescent="0.3">
      <c r="A1286" s="9" t="s">
        <v>26</v>
      </c>
      <c r="B1286" s="9" t="s">
        <v>41</v>
      </c>
      <c r="C1286" s="9" t="s">
        <v>40</v>
      </c>
      <c r="D1286" s="9">
        <v>19</v>
      </c>
      <c r="E1286" s="11" t="s">
        <v>107</v>
      </c>
      <c r="F1286" s="11" t="str">
        <f t="shared" si="20"/>
        <v>No</v>
      </c>
    </row>
    <row r="1287" spans="1:6" x14ac:dyDescent="0.3">
      <c r="A1287" s="9" t="s">
        <v>26</v>
      </c>
      <c r="B1287" s="9" t="s">
        <v>42</v>
      </c>
      <c r="C1287" s="9" t="s">
        <v>40</v>
      </c>
      <c r="D1287" s="9">
        <v>2</v>
      </c>
      <c r="E1287" s="11" t="s">
        <v>107</v>
      </c>
      <c r="F1287" s="11" t="str">
        <f t="shared" si="20"/>
        <v>No</v>
      </c>
    </row>
    <row r="1288" spans="1:6" x14ac:dyDescent="0.3">
      <c r="A1288" s="9" t="s">
        <v>26</v>
      </c>
      <c r="B1288" s="9" t="s">
        <v>43</v>
      </c>
      <c r="C1288" s="9" t="s">
        <v>40</v>
      </c>
      <c r="D1288" s="9">
        <v>10627</v>
      </c>
      <c r="E1288" s="11" t="s">
        <v>106</v>
      </c>
      <c r="F1288" s="11" t="str">
        <f t="shared" si="20"/>
        <v>No</v>
      </c>
    </row>
    <row r="1289" spans="1:6" x14ac:dyDescent="0.3">
      <c r="A1289" s="9" t="s">
        <v>26</v>
      </c>
      <c r="B1289" s="9" t="s">
        <v>44</v>
      </c>
      <c r="C1289" s="9" t="s">
        <v>40</v>
      </c>
      <c r="D1289" s="9">
        <v>6978</v>
      </c>
      <c r="E1289" s="11" t="s">
        <v>107</v>
      </c>
      <c r="F1289" s="11" t="str">
        <f t="shared" si="20"/>
        <v>No</v>
      </c>
    </row>
    <row r="1290" spans="1:6" x14ac:dyDescent="0.3">
      <c r="A1290" s="9" t="s">
        <v>26</v>
      </c>
      <c r="B1290" s="9" t="s">
        <v>45</v>
      </c>
      <c r="C1290" s="9" t="s">
        <v>40</v>
      </c>
      <c r="D1290" s="9">
        <v>3649</v>
      </c>
      <c r="E1290" s="11" t="s">
        <v>107</v>
      </c>
      <c r="F1290" s="11" t="str">
        <f t="shared" si="20"/>
        <v>No</v>
      </c>
    </row>
    <row r="1291" spans="1:6" x14ac:dyDescent="0.3">
      <c r="A1291" s="9" t="s">
        <v>26</v>
      </c>
      <c r="B1291" s="9" t="s">
        <v>71</v>
      </c>
      <c r="C1291" s="9" t="s">
        <v>40</v>
      </c>
      <c r="D1291" s="9">
        <v>0</v>
      </c>
      <c r="E1291" s="11" t="s">
        <v>105</v>
      </c>
      <c r="F1291" s="11" t="str">
        <f t="shared" si="20"/>
        <v>Yes</v>
      </c>
    </row>
    <row r="1292" spans="1:6" x14ac:dyDescent="0.3">
      <c r="A1292" s="9" t="s">
        <v>26</v>
      </c>
      <c r="B1292" s="9" t="s">
        <v>72</v>
      </c>
      <c r="C1292" s="9" t="s">
        <v>40</v>
      </c>
      <c r="D1292" s="9">
        <v>0</v>
      </c>
      <c r="E1292" s="11" t="s">
        <v>105</v>
      </c>
      <c r="F1292" s="11" t="str">
        <f t="shared" si="20"/>
        <v>Yes</v>
      </c>
    </row>
    <row r="1293" spans="1:6" x14ac:dyDescent="0.3">
      <c r="A1293" s="9" t="s">
        <v>26</v>
      </c>
      <c r="B1293" s="9" t="s">
        <v>82</v>
      </c>
      <c r="C1293" s="9" t="s">
        <v>40</v>
      </c>
      <c r="D1293" s="9">
        <v>11</v>
      </c>
      <c r="E1293" s="11" t="s">
        <v>105</v>
      </c>
      <c r="F1293" s="11" t="str">
        <f t="shared" si="20"/>
        <v>Yes</v>
      </c>
    </row>
    <row r="1294" spans="1:6" x14ac:dyDescent="0.3">
      <c r="A1294" s="9" t="s">
        <v>26</v>
      </c>
      <c r="B1294" s="9" t="s">
        <v>81</v>
      </c>
      <c r="C1294" s="9" t="s">
        <v>81</v>
      </c>
      <c r="D1294" s="9">
        <v>7</v>
      </c>
      <c r="E1294" s="11" t="s">
        <v>105</v>
      </c>
      <c r="F1294" s="11" t="str">
        <f t="shared" si="20"/>
        <v>Yes</v>
      </c>
    </row>
    <row r="1295" spans="1:6" x14ac:dyDescent="0.3">
      <c r="A1295" s="9" t="s">
        <v>26</v>
      </c>
      <c r="B1295" s="9" t="s">
        <v>73</v>
      </c>
      <c r="C1295" s="9" t="s">
        <v>81</v>
      </c>
      <c r="D1295" s="9">
        <v>1</v>
      </c>
      <c r="E1295" s="11" t="s">
        <v>105</v>
      </c>
      <c r="F1295" s="11" t="str">
        <f t="shared" si="20"/>
        <v>Yes</v>
      </c>
    </row>
    <row r="1296" spans="1:6" x14ac:dyDescent="0.3">
      <c r="A1296" s="9" t="s">
        <v>26</v>
      </c>
      <c r="B1296" s="9" t="s">
        <v>80</v>
      </c>
      <c r="C1296" s="9" t="s">
        <v>81</v>
      </c>
      <c r="D1296" s="9">
        <v>0</v>
      </c>
      <c r="E1296" s="11" t="s">
        <v>105</v>
      </c>
      <c r="F1296" s="11" t="str">
        <f t="shared" si="20"/>
        <v>Yes</v>
      </c>
    </row>
    <row r="1297" spans="1:6" x14ac:dyDescent="0.3">
      <c r="A1297" s="9" t="s">
        <v>26</v>
      </c>
      <c r="B1297" s="9" t="s">
        <v>79</v>
      </c>
      <c r="C1297" s="9" t="s">
        <v>96</v>
      </c>
      <c r="D1297" s="9">
        <v>3516</v>
      </c>
      <c r="E1297" s="11" t="s">
        <v>106</v>
      </c>
      <c r="F1297" s="11" t="str">
        <f t="shared" si="20"/>
        <v>Yes</v>
      </c>
    </row>
    <row r="1298" spans="1:6" x14ac:dyDescent="0.3">
      <c r="A1298" s="9" t="s">
        <v>26</v>
      </c>
      <c r="B1298" s="9" t="s">
        <v>46</v>
      </c>
      <c r="C1298" s="9" t="s">
        <v>96</v>
      </c>
      <c r="D1298" s="9">
        <v>3215</v>
      </c>
      <c r="E1298" s="11" t="s">
        <v>107</v>
      </c>
      <c r="F1298" s="11" t="str">
        <f t="shared" si="20"/>
        <v>No</v>
      </c>
    </row>
    <row r="1299" spans="1:6" x14ac:dyDescent="0.3">
      <c r="A1299" s="9" t="s">
        <v>26</v>
      </c>
      <c r="B1299" s="9" t="s">
        <v>47</v>
      </c>
      <c r="C1299" s="9" t="s">
        <v>96</v>
      </c>
      <c r="D1299" s="9">
        <v>301</v>
      </c>
      <c r="E1299" s="11" t="s">
        <v>107</v>
      </c>
      <c r="F1299" s="11" t="str">
        <f t="shared" si="20"/>
        <v>No</v>
      </c>
    </row>
    <row r="1300" spans="1:6" x14ac:dyDescent="0.3">
      <c r="A1300" s="9" t="s">
        <v>26</v>
      </c>
      <c r="B1300" s="9" t="s">
        <v>48</v>
      </c>
      <c r="C1300" s="9" t="s">
        <v>97</v>
      </c>
      <c r="D1300" s="9">
        <v>140</v>
      </c>
      <c r="E1300" s="11" t="s">
        <v>106</v>
      </c>
      <c r="F1300" s="11" t="str">
        <f t="shared" si="20"/>
        <v>Yes</v>
      </c>
    </row>
    <row r="1301" spans="1:6" x14ac:dyDescent="0.3">
      <c r="A1301" s="9" t="s">
        <v>26</v>
      </c>
      <c r="B1301" s="9" t="s">
        <v>49</v>
      </c>
      <c r="C1301" s="9" t="s">
        <v>97</v>
      </c>
      <c r="D1301" s="9">
        <v>127</v>
      </c>
      <c r="E1301" s="11" t="s">
        <v>107</v>
      </c>
      <c r="F1301" s="11" t="str">
        <f t="shared" si="20"/>
        <v>No</v>
      </c>
    </row>
    <row r="1302" spans="1:6" x14ac:dyDescent="0.3">
      <c r="A1302" s="9" t="s">
        <v>26</v>
      </c>
      <c r="B1302" s="9" t="s">
        <v>50</v>
      </c>
      <c r="C1302" s="9" t="s">
        <v>97</v>
      </c>
      <c r="D1302" s="9">
        <v>13</v>
      </c>
      <c r="E1302" s="11" t="s">
        <v>107</v>
      </c>
      <c r="F1302" s="11" t="str">
        <f t="shared" si="20"/>
        <v>No</v>
      </c>
    </row>
    <row r="1303" spans="1:6" x14ac:dyDescent="0.3">
      <c r="A1303" s="9" t="s">
        <v>26</v>
      </c>
      <c r="B1303" s="9" t="s">
        <v>51</v>
      </c>
      <c r="C1303" s="9" t="s">
        <v>99</v>
      </c>
      <c r="D1303" s="9">
        <v>9453</v>
      </c>
      <c r="E1303" s="11" t="s">
        <v>106</v>
      </c>
      <c r="F1303" s="11" t="str">
        <f t="shared" si="20"/>
        <v>Yes</v>
      </c>
    </row>
    <row r="1304" spans="1:6" x14ac:dyDescent="0.3">
      <c r="A1304" s="9" t="s">
        <v>26</v>
      </c>
      <c r="B1304" s="9" t="s">
        <v>52</v>
      </c>
      <c r="C1304" s="9" t="s">
        <v>99</v>
      </c>
      <c r="D1304" s="9">
        <v>8656</v>
      </c>
      <c r="E1304" s="11" t="s">
        <v>107</v>
      </c>
      <c r="F1304" s="11" t="str">
        <f t="shared" si="20"/>
        <v>No</v>
      </c>
    </row>
    <row r="1305" spans="1:6" x14ac:dyDescent="0.3">
      <c r="A1305" s="9" t="s">
        <v>26</v>
      </c>
      <c r="B1305" s="9" t="s">
        <v>53</v>
      </c>
      <c r="C1305" s="9" t="s">
        <v>99</v>
      </c>
      <c r="D1305" s="9">
        <v>797</v>
      </c>
      <c r="E1305" s="11" t="s">
        <v>107</v>
      </c>
      <c r="F1305" s="11" t="str">
        <f t="shared" si="20"/>
        <v>No</v>
      </c>
    </row>
    <row r="1306" spans="1:6" x14ac:dyDescent="0.3">
      <c r="A1306" s="9" t="s">
        <v>26</v>
      </c>
      <c r="B1306" s="9" t="s">
        <v>54</v>
      </c>
      <c r="C1306" s="9" t="s">
        <v>98</v>
      </c>
      <c r="D1306" s="9">
        <v>145</v>
      </c>
      <c r="E1306" s="11" t="s">
        <v>106</v>
      </c>
      <c r="F1306" s="11" t="str">
        <f t="shared" si="20"/>
        <v>Yes</v>
      </c>
    </row>
    <row r="1307" spans="1:6" x14ac:dyDescent="0.3">
      <c r="A1307" s="9" t="s">
        <v>26</v>
      </c>
      <c r="B1307" s="9" t="s">
        <v>55</v>
      </c>
      <c r="C1307" s="9" t="s">
        <v>98</v>
      </c>
      <c r="D1307" s="9">
        <v>145</v>
      </c>
      <c r="E1307" s="11" t="s">
        <v>107</v>
      </c>
      <c r="F1307" s="11" t="str">
        <f t="shared" si="20"/>
        <v>No</v>
      </c>
    </row>
    <row r="1308" spans="1:6" x14ac:dyDescent="0.3">
      <c r="A1308" s="9" t="s">
        <v>26</v>
      </c>
      <c r="B1308" s="9" t="s">
        <v>56</v>
      </c>
      <c r="C1308" s="9" t="s">
        <v>98</v>
      </c>
      <c r="D1308" s="9">
        <v>0</v>
      </c>
      <c r="E1308" s="11" t="s">
        <v>107</v>
      </c>
      <c r="F1308" s="11" t="str">
        <f t="shared" si="20"/>
        <v>No</v>
      </c>
    </row>
    <row r="1309" spans="1:6" x14ac:dyDescent="0.3">
      <c r="A1309" s="9" t="s">
        <v>26</v>
      </c>
      <c r="B1309" s="9" t="s">
        <v>74</v>
      </c>
      <c r="C1309" s="9" t="s">
        <v>74</v>
      </c>
      <c r="D1309" s="9">
        <v>7151</v>
      </c>
      <c r="E1309" s="11" t="s">
        <v>105</v>
      </c>
      <c r="F1309" s="11" t="str">
        <f t="shared" si="20"/>
        <v>Yes</v>
      </c>
    </row>
    <row r="1310" spans="1:6" x14ac:dyDescent="0.3">
      <c r="A1310" s="9" t="s">
        <v>26</v>
      </c>
      <c r="B1310" s="9" t="s">
        <v>57</v>
      </c>
      <c r="C1310" s="9" t="s">
        <v>100</v>
      </c>
      <c r="D1310" s="9">
        <v>53</v>
      </c>
      <c r="E1310" s="11" t="s">
        <v>106</v>
      </c>
      <c r="F1310" s="11" t="str">
        <f t="shared" si="20"/>
        <v>Yes</v>
      </c>
    </row>
    <row r="1311" spans="1:6" x14ac:dyDescent="0.3">
      <c r="A1311" s="9" t="s">
        <v>26</v>
      </c>
      <c r="B1311" s="9" t="s">
        <v>76</v>
      </c>
      <c r="C1311" s="9" t="s">
        <v>100</v>
      </c>
      <c r="D1311" s="9">
        <v>7</v>
      </c>
      <c r="E1311" s="11" t="s">
        <v>107</v>
      </c>
      <c r="F1311" s="11" t="str">
        <f t="shared" si="20"/>
        <v>No</v>
      </c>
    </row>
    <row r="1312" spans="1:6" x14ac:dyDescent="0.3">
      <c r="A1312" s="9" t="s">
        <v>26</v>
      </c>
      <c r="B1312" s="9" t="s">
        <v>58</v>
      </c>
      <c r="C1312" s="9" t="s">
        <v>100</v>
      </c>
      <c r="D1312" s="9">
        <v>8</v>
      </c>
      <c r="E1312" s="11" t="s">
        <v>107</v>
      </c>
      <c r="F1312" s="11" t="str">
        <f t="shared" si="20"/>
        <v>No</v>
      </c>
    </row>
    <row r="1313" spans="1:6" x14ac:dyDescent="0.3">
      <c r="A1313" s="9" t="s">
        <v>26</v>
      </c>
      <c r="B1313" s="9" t="s">
        <v>59</v>
      </c>
      <c r="C1313" s="9" t="s">
        <v>100</v>
      </c>
      <c r="D1313" s="9">
        <v>9</v>
      </c>
      <c r="E1313" s="11" t="s">
        <v>107</v>
      </c>
      <c r="F1313" s="11" t="str">
        <f t="shared" si="20"/>
        <v>No</v>
      </c>
    </row>
    <row r="1314" spans="1:6" x14ac:dyDescent="0.3">
      <c r="A1314" s="9" t="s">
        <v>26</v>
      </c>
      <c r="B1314" s="9" t="s">
        <v>60</v>
      </c>
      <c r="C1314" s="9" t="s">
        <v>100</v>
      </c>
      <c r="D1314" s="9">
        <v>1</v>
      </c>
      <c r="E1314" s="11" t="s">
        <v>107</v>
      </c>
      <c r="F1314" s="11" t="str">
        <f t="shared" si="20"/>
        <v>No</v>
      </c>
    </row>
    <row r="1315" spans="1:6" x14ac:dyDescent="0.3">
      <c r="A1315" s="9" t="s">
        <v>26</v>
      </c>
      <c r="B1315" s="9" t="s">
        <v>61</v>
      </c>
      <c r="C1315" s="9" t="s">
        <v>100</v>
      </c>
      <c r="D1315" s="9">
        <v>28</v>
      </c>
      <c r="E1315" s="11" t="s">
        <v>107</v>
      </c>
      <c r="F1315" s="11" t="str">
        <f t="shared" si="20"/>
        <v>No</v>
      </c>
    </row>
    <row r="1316" spans="1:6" x14ac:dyDescent="0.3">
      <c r="A1316" s="9" t="s">
        <v>26</v>
      </c>
      <c r="B1316" s="9" t="s">
        <v>78</v>
      </c>
      <c r="C1316" s="9" t="s">
        <v>95</v>
      </c>
      <c r="D1316" s="9">
        <v>3</v>
      </c>
      <c r="E1316" s="11" t="s">
        <v>105</v>
      </c>
      <c r="F1316" s="11" t="str">
        <f t="shared" si="20"/>
        <v>Yes</v>
      </c>
    </row>
    <row r="1317" spans="1:6" x14ac:dyDescent="0.3">
      <c r="A1317" s="9" t="s">
        <v>26</v>
      </c>
      <c r="B1317" s="9" t="s">
        <v>62</v>
      </c>
      <c r="C1317" s="9" t="s">
        <v>101</v>
      </c>
      <c r="D1317" s="9">
        <v>485</v>
      </c>
      <c r="E1317" s="11" t="s">
        <v>106</v>
      </c>
      <c r="F1317" s="11" t="str">
        <f t="shared" si="20"/>
        <v>Yes</v>
      </c>
    </row>
    <row r="1318" spans="1:6" x14ac:dyDescent="0.3">
      <c r="A1318" s="9" t="s">
        <v>26</v>
      </c>
      <c r="B1318" s="9" t="s">
        <v>63</v>
      </c>
      <c r="C1318" s="9" t="s">
        <v>101</v>
      </c>
      <c r="D1318" s="9">
        <v>389</v>
      </c>
      <c r="E1318" s="11" t="s">
        <v>107</v>
      </c>
      <c r="F1318" s="11" t="str">
        <f t="shared" si="20"/>
        <v>No</v>
      </c>
    </row>
    <row r="1319" spans="1:6" x14ac:dyDescent="0.3">
      <c r="A1319" s="9" t="s">
        <v>26</v>
      </c>
      <c r="B1319" s="9" t="s">
        <v>64</v>
      </c>
      <c r="C1319" s="9" t="s">
        <v>101</v>
      </c>
      <c r="D1319" s="9">
        <v>96</v>
      </c>
      <c r="E1319" s="11" t="s">
        <v>107</v>
      </c>
      <c r="F1319" s="11" t="str">
        <f t="shared" si="20"/>
        <v>No</v>
      </c>
    </row>
    <row r="1320" spans="1:6" x14ac:dyDescent="0.3">
      <c r="A1320" s="9" t="s">
        <v>26</v>
      </c>
      <c r="B1320" s="9" t="s">
        <v>77</v>
      </c>
      <c r="C1320" s="9" t="s">
        <v>102</v>
      </c>
      <c r="D1320" s="9">
        <v>8574</v>
      </c>
      <c r="E1320" s="11" t="s">
        <v>106</v>
      </c>
      <c r="F1320" s="11" t="str">
        <f t="shared" si="20"/>
        <v>Yes</v>
      </c>
    </row>
    <row r="1321" spans="1:6" x14ac:dyDescent="0.3">
      <c r="A1321" s="9" t="s">
        <v>26</v>
      </c>
      <c r="B1321" s="9" t="s">
        <v>65</v>
      </c>
      <c r="C1321" s="9" t="s">
        <v>102</v>
      </c>
      <c r="D1321" s="9">
        <v>3645</v>
      </c>
      <c r="E1321" s="11" t="s">
        <v>107</v>
      </c>
      <c r="F1321" s="11" t="str">
        <f t="shared" si="20"/>
        <v>No</v>
      </c>
    </row>
    <row r="1322" spans="1:6" x14ac:dyDescent="0.3">
      <c r="A1322" s="9" t="s">
        <v>26</v>
      </c>
      <c r="B1322" s="9" t="s">
        <v>66</v>
      </c>
      <c r="C1322" s="9" t="s">
        <v>102</v>
      </c>
      <c r="D1322" s="9">
        <v>4728</v>
      </c>
      <c r="E1322" s="11" t="s">
        <v>107</v>
      </c>
      <c r="F1322" s="11" t="str">
        <f t="shared" si="20"/>
        <v>No</v>
      </c>
    </row>
    <row r="1323" spans="1:6" x14ac:dyDescent="0.3">
      <c r="A1323" s="9" t="s">
        <v>26</v>
      </c>
      <c r="B1323" s="9" t="s">
        <v>67</v>
      </c>
      <c r="C1323" s="9" t="s">
        <v>102</v>
      </c>
      <c r="D1323" s="9">
        <v>129</v>
      </c>
      <c r="E1323" s="11" t="s">
        <v>107</v>
      </c>
      <c r="F1323" s="11" t="str">
        <f t="shared" si="20"/>
        <v>No</v>
      </c>
    </row>
    <row r="1324" spans="1:6" x14ac:dyDescent="0.3">
      <c r="A1324" s="9" t="s">
        <v>26</v>
      </c>
      <c r="B1324" s="9" t="s">
        <v>68</v>
      </c>
      <c r="C1324" s="9" t="s">
        <v>102</v>
      </c>
      <c r="D1324" s="9">
        <v>7</v>
      </c>
      <c r="E1324" s="11" t="s">
        <v>107</v>
      </c>
      <c r="F1324" s="11" t="str">
        <f t="shared" si="20"/>
        <v>No</v>
      </c>
    </row>
    <row r="1325" spans="1:6" x14ac:dyDescent="0.3">
      <c r="A1325" s="9" t="s">
        <v>26</v>
      </c>
      <c r="B1325" s="9" t="s">
        <v>69</v>
      </c>
      <c r="C1325" s="9" t="s">
        <v>102</v>
      </c>
      <c r="D1325" s="9">
        <v>55</v>
      </c>
      <c r="E1325" s="11" t="s">
        <v>107</v>
      </c>
      <c r="F1325" s="11" t="str">
        <f t="shared" si="20"/>
        <v>No</v>
      </c>
    </row>
    <row r="1326" spans="1:6" x14ac:dyDescent="0.3">
      <c r="A1326" s="9" t="s">
        <v>26</v>
      </c>
      <c r="B1326" s="9" t="s">
        <v>70</v>
      </c>
      <c r="C1326" s="9" t="s">
        <v>102</v>
      </c>
      <c r="D1326" s="9">
        <v>10</v>
      </c>
      <c r="E1326" s="11" t="s">
        <v>107</v>
      </c>
      <c r="F1326" s="11" t="str">
        <f t="shared" si="20"/>
        <v>No</v>
      </c>
    </row>
    <row r="1327" spans="1:6" x14ac:dyDescent="0.3">
      <c r="A1327" s="9" t="s">
        <v>26</v>
      </c>
      <c r="B1327" s="9" t="s">
        <v>75</v>
      </c>
      <c r="C1327" s="9" t="s">
        <v>103</v>
      </c>
      <c r="D1327" s="9">
        <v>4</v>
      </c>
      <c r="E1327" s="11" t="s">
        <v>105</v>
      </c>
      <c r="F1327" s="11" t="str">
        <f t="shared" si="20"/>
        <v>Yes</v>
      </c>
    </row>
    <row r="1328" spans="1:6" x14ac:dyDescent="0.3">
      <c r="A1328" s="9" t="s">
        <v>27</v>
      </c>
      <c r="B1328" s="9" t="s">
        <v>88</v>
      </c>
      <c r="C1328" s="9" t="s">
        <v>92</v>
      </c>
      <c r="D1328" s="9">
        <v>0</v>
      </c>
      <c r="E1328" s="11" t="s">
        <v>105</v>
      </c>
      <c r="F1328" s="11" t="str">
        <f t="shared" si="20"/>
        <v>Yes</v>
      </c>
    </row>
    <row r="1329" spans="1:6" x14ac:dyDescent="0.3">
      <c r="A1329" s="9" t="s">
        <v>27</v>
      </c>
      <c r="B1329" s="9" t="s">
        <v>38</v>
      </c>
      <c r="C1329" s="9" t="s">
        <v>93</v>
      </c>
      <c r="D1329" s="9">
        <v>48</v>
      </c>
      <c r="E1329" s="11" t="s">
        <v>105</v>
      </c>
      <c r="F1329" s="11" t="str">
        <f t="shared" si="20"/>
        <v>Yes</v>
      </c>
    </row>
    <row r="1330" spans="1:6" x14ac:dyDescent="0.3">
      <c r="A1330" s="9" t="s">
        <v>27</v>
      </c>
      <c r="B1330" s="9" t="s">
        <v>87</v>
      </c>
      <c r="C1330" s="9" t="s">
        <v>94</v>
      </c>
      <c r="D1330" s="9">
        <v>19</v>
      </c>
      <c r="E1330" s="11" t="s">
        <v>105</v>
      </c>
      <c r="F1330" s="11" t="str">
        <f t="shared" si="20"/>
        <v>Yes</v>
      </c>
    </row>
    <row r="1331" spans="1:6" x14ac:dyDescent="0.3">
      <c r="A1331" s="9" t="s">
        <v>27</v>
      </c>
      <c r="B1331" s="9" t="s">
        <v>86</v>
      </c>
      <c r="C1331" s="9" t="s">
        <v>86</v>
      </c>
      <c r="D1331" s="9">
        <v>4</v>
      </c>
      <c r="E1331" s="11" t="s">
        <v>105</v>
      </c>
      <c r="F1331" s="11" t="str">
        <f t="shared" si="20"/>
        <v>Yes</v>
      </c>
    </row>
    <row r="1332" spans="1:6" x14ac:dyDescent="0.3">
      <c r="A1332" s="9" t="s">
        <v>27</v>
      </c>
      <c r="B1332" s="9" t="s">
        <v>85</v>
      </c>
      <c r="C1332" s="9" t="s">
        <v>85</v>
      </c>
      <c r="D1332" s="9">
        <v>1</v>
      </c>
      <c r="E1332" s="11" t="s">
        <v>105</v>
      </c>
      <c r="F1332" s="11" t="str">
        <f t="shared" si="20"/>
        <v>Yes</v>
      </c>
    </row>
    <row r="1333" spans="1:6" x14ac:dyDescent="0.3">
      <c r="A1333" s="9" t="s">
        <v>27</v>
      </c>
      <c r="B1333" s="9" t="s">
        <v>84</v>
      </c>
      <c r="C1333" s="9" t="s">
        <v>85</v>
      </c>
      <c r="D1333" s="9">
        <v>2</v>
      </c>
      <c r="E1333" s="11" t="s">
        <v>105</v>
      </c>
      <c r="F1333" s="11" t="str">
        <f t="shared" si="20"/>
        <v>Yes</v>
      </c>
    </row>
    <row r="1334" spans="1:6" x14ac:dyDescent="0.3">
      <c r="A1334" s="9" t="s">
        <v>27</v>
      </c>
      <c r="B1334" s="9" t="s">
        <v>83</v>
      </c>
      <c r="C1334" s="9" t="s">
        <v>95</v>
      </c>
      <c r="D1334" s="9">
        <v>1016</v>
      </c>
      <c r="E1334" s="11" t="s">
        <v>105</v>
      </c>
      <c r="F1334" s="11" t="str">
        <f t="shared" si="20"/>
        <v>Yes</v>
      </c>
    </row>
    <row r="1335" spans="1:6" x14ac:dyDescent="0.3">
      <c r="A1335" s="9" t="s">
        <v>27</v>
      </c>
      <c r="B1335" s="9" t="s">
        <v>39</v>
      </c>
      <c r="C1335" s="9" t="s">
        <v>40</v>
      </c>
      <c r="D1335" s="9">
        <v>698</v>
      </c>
      <c r="E1335" s="11" t="s">
        <v>106</v>
      </c>
      <c r="F1335" s="11" t="str">
        <f t="shared" si="20"/>
        <v>Yes</v>
      </c>
    </row>
    <row r="1336" spans="1:6" x14ac:dyDescent="0.3">
      <c r="A1336" s="9" t="s">
        <v>27</v>
      </c>
      <c r="B1336" s="9" t="s">
        <v>40</v>
      </c>
      <c r="C1336" s="9" t="s">
        <v>40</v>
      </c>
      <c r="D1336" s="9">
        <v>136</v>
      </c>
      <c r="E1336" s="11" t="s">
        <v>107</v>
      </c>
      <c r="F1336" s="11" t="str">
        <f t="shared" si="20"/>
        <v>No</v>
      </c>
    </row>
    <row r="1337" spans="1:6" x14ac:dyDescent="0.3">
      <c r="A1337" s="9" t="s">
        <v>27</v>
      </c>
      <c r="B1337" s="9" t="s">
        <v>41</v>
      </c>
      <c r="C1337" s="9" t="s">
        <v>40</v>
      </c>
      <c r="D1337" s="9">
        <v>0</v>
      </c>
      <c r="E1337" s="11" t="s">
        <v>107</v>
      </c>
      <c r="F1337" s="11" t="str">
        <f t="shared" si="20"/>
        <v>No</v>
      </c>
    </row>
    <row r="1338" spans="1:6" x14ac:dyDescent="0.3">
      <c r="A1338" s="9" t="s">
        <v>27</v>
      </c>
      <c r="B1338" s="9" t="s">
        <v>42</v>
      </c>
      <c r="C1338" s="9" t="s">
        <v>40</v>
      </c>
      <c r="D1338" s="9">
        <v>0</v>
      </c>
      <c r="E1338" s="11" t="s">
        <v>107</v>
      </c>
      <c r="F1338" s="11" t="str">
        <f t="shared" si="20"/>
        <v>No</v>
      </c>
    </row>
    <row r="1339" spans="1:6" x14ac:dyDescent="0.3">
      <c r="A1339" s="9" t="s">
        <v>27</v>
      </c>
      <c r="B1339" s="9" t="s">
        <v>43</v>
      </c>
      <c r="C1339" s="9" t="s">
        <v>40</v>
      </c>
      <c r="D1339" s="9">
        <v>82</v>
      </c>
      <c r="E1339" s="11" t="s">
        <v>106</v>
      </c>
      <c r="F1339" s="11" t="str">
        <f t="shared" si="20"/>
        <v>No</v>
      </c>
    </row>
    <row r="1340" spans="1:6" x14ac:dyDescent="0.3">
      <c r="A1340" s="9" t="s">
        <v>27</v>
      </c>
      <c r="B1340" s="9" t="s">
        <v>44</v>
      </c>
      <c r="C1340" s="9" t="s">
        <v>40</v>
      </c>
      <c r="D1340" s="9">
        <v>79</v>
      </c>
      <c r="E1340" s="11" t="s">
        <v>107</v>
      </c>
      <c r="F1340" s="11" t="str">
        <f t="shared" si="20"/>
        <v>No</v>
      </c>
    </row>
    <row r="1341" spans="1:6" x14ac:dyDescent="0.3">
      <c r="A1341" s="9" t="s">
        <v>27</v>
      </c>
      <c r="B1341" s="9" t="s">
        <v>45</v>
      </c>
      <c r="C1341" s="9" t="s">
        <v>40</v>
      </c>
      <c r="D1341" s="9">
        <v>3</v>
      </c>
      <c r="E1341" s="11" t="s">
        <v>107</v>
      </c>
      <c r="F1341" s="11" t="str">
        <f t="shared" si="20"/>
        <v>No</v>
      </c>
    </row>
    <row r="1342" spans="1:6" x14ac:dyDescent="0.3">
      <c r="A1342" s="9" t="s">
        <v>27</v>
      </c>
      <c r="B1342" s="9" t="s">
        <v>71</v>
      </c>
      <c r="C1342" s="9" t="s">
        <v>40</v>
      </c>
      <c r="D1342" s="9">
        <v>0</v>
      </c>
      <c r="E1342" s="11" t="s">
        <v>105</v>
      </c>
      <c r="F1342" s="11" t="str">
        <f t="shared" si="20"/>
        <v>Yes</v>
      </c>
    </row>
    <row r="1343" spans="1:6" x14ac:dyDescent="0.3">
      <c r="A1343" s="9" t="s">
        <v>27</v>
      </c>
      <c r="B1343" s="9" t="s">
        <v>72</v>
      </c>
      <c r="C1343" s="9" t="s">
        <v>40</v>
      </c>
      <c r="D1343" s="9">
        <v>0</v>
      </c>
      <c r="E1343" s="11" t="s">
        <v>105</v>
      </c>
      <c r="F1343" s="11" t="str">
        <f t="shared" si="20"/>
        <v>Yes</v>
      </c>
    </row>
    <row r="1344" spans="1:6" x14ac:dyDescent="0.3">
      <c r="A1344" s="9" t="s">
        <v>27</v>
      </c>
      <c r="B1344" s="9" t="s">
        <v>82</v>
      </c>
      <c r="C1344" s="9" t="s">
        <v>40</v>
      </c>
      <c r="D1344" s="9">
        <v>480</v>
      </c>
      <c r="E1344" s="11" t="s">
        <v>105</v>
      </c>
      <c r="F1344" s="11" t="str">
        <f t="shared" si="20"/>
        <v>Yes</v>
      </c>
    </row>
    <row r="1345" spans="1:6" x14ac:dyDescent="0.3">
      <c r="A1345" s="9" t="s">
        <v>27</v>
      </c>
      <c r="B1345" s="9" t="s">
        <v>81</v>
      </c>
      <c r="C1345" s="9" t="s">
        <v>81</v>
      </c>
      <c r="D1345" s="9">
        <v>4</v>
      </c>
      <c r="E1345" s="11" t="s">
        <v>105</v>
      </c>
      <c r="F1345" s="11" t="str">
        <f t="shared" si="20"/>
        <v>Yes</v>
      </c>
    </row>
    <row r="1346" spans="1:6" x14ac:dyDescent="0.3">
      <c r="A1346" s="9" t="s">
        <v>27</v>
      </c>
      <c r="B1346" s="9" t="s">
        <v>73</v>
      </c>
      <c r="C1346" s="9" t="s">
        <v>81</v>
      </c>
      <c r="D1346" s="9">
        <v>0</v>
      </c>
      <c r="E1346" s="11" t="s">
        <v>105</v>
      </c>
      <c r="F1346" s="11" t="str">
        <f t="shared" ref="F1346:F1409" si="21">IF(E1346="Standalone","Yes",IF(AND(E1346="Total",OR(B1346="Kidnapping &amp; Abduction (Total)",B1346="Rape (Total)",B1346="Attempt to Rape (Total)",B1346="Assault to Outrage Modesty (Total)",B1346="Insult to Modesty (Total)",B1346="Immoral Traffic (Prevention) Act (Total)",B1346="Women-Centric Cyber Crime (Total)",B1346="POCSO (Protection of Children from Sexual Offences Act) (Total)")),"Yes","No"))</f>
        <v>Yes</v>
      </c>
    </row>
    <row r="1347" spans="1:6" x14ac:dyDescent="0.3">
      <c r="A1347" s="9" t="s">
        <v>27</v>
      </c>
      <c r="B1347" s="9" t="s">
        <v>80</v>
      </c>
      <c r="C1347" s="9" t="s">
        <v>81</v>
      </c>
      <c r="D1347" s="9">
        <v>0</v>
      </c>
      <c r="E1347" s="11" t="s">
        <v>105</v>
      </c>
      <c r="F1347" s="11" t="str">
        <f t="shared" si="21"/>
        <v>Yes</v>
      </c>
    </row>
    <row r="1348" spans="1:6" x14ac:dyDescent="0.3">
      <c r="A1348" s="9" t="s">
        <v>27</v>
      </c>
      <c r="B1348" s="9" t="s">
        <v>79</v>
      </c>
      <c r="C1348" s="9" t="s">
        <v>96</v>
      </c>
      <c r="D1348" s="9">
        <v>421</v>
      </c>
      <c r="E1348" s="11" t="s">
        <v>106</v>
      </c>
      <c r="F1348" s="11" t="str">
        <f t="shared" si="21"/>
        <v>Yes</v>
      </c>
    </row>
    <row r="1349" spans="1:6" x14ac:dyDescent="0.3">
      <c r="A1349" s="9" t="s">
        <v>27</v>
      </c>
      <c r="B1349" s="9" t="s">
        <v>46</v>
      </c>
      <c r="C1349" s="9" t="s">
        <v>96</v>
      </c>
      <c r="D1349" s="9">
        <v>421</v>
      </c>
      <c r="E1349" s="11" t="s">
        <v>107</v>
      </c>
      <c r="F1349" s="11" t="str">
        <f t="shared" si="21"/>
        <v>No</v>
      </c>
    </row>
    <row r="1350" spans="1:6" x14ac:dyDescent="0.3">
      <c r="A1350" s="9" t="s">
        <v>27</v>
      </c>
      <c r="B1350" s="9" t="s">
        <v>47</v>
      </c>
      <c r="C1350" s="9" t="s">
        <v>96</v>
      </c>
      <c r="D1350" s="9">
        <v>0</v>
      </c>
      <c r="E1350" s="11" t="s">
        <v>107</v>
      </c>
      <c r="F1350" s="11" t="str">
        <f t="shared" si="21"/>
        <v>No</v>
      </c>
    </row>
    <row r="1351" spans="1:6" x14ac:dyDescent="0.3">
      <c r="A1351" s="9" t="s">
        <v>27</v>
      </c>
      <c r="B1351" s="9" t="s">
        <v>48</v>
      </c>
      <c r="C1351" s="9" t="s">
        <v>97</v>
      </c>
      <c r="D1351" s="9">
        <v>20</v>
      </c>
      <c r="E1351" s="11" t="s">
        <v>106</v>
      </c>
      <c r="F1351" s="11" t="str">
        <f t="shared" si="21"/>
        <v>Yes</v>
      </c>
    </row>
    <row r="1352" spans="1:6" x14ac:dyDescent="0.3">
      <c r="A1352" s="9" t="s">
        <v>27</v>
      </c>
      <c r="B1352" s="9" t="s">
        <v>49</v>
      </c>
      <c r="C1352" s="9" t="s">
        <v>97</v>
      </c>
      <c r="D1352" s="9">
        <v>18</v>
      </c>
      <c r="E1352" s="11" t="s">
        <v>107</v>
      </c>
      <c r="F1352" s="11" t="str">
        <f t="shared" si="21"/>
        <v>No</v>
      </c>
    </row>
    <row r="1353" spans="1:6" x14ac:dyDescent="0.3">
      <c r="A1353" s="9" t="s">
        <v>27</v>
      </c>
      <c r="B1353" s="9" t="s">
        <v>50</v>
      </c>
      <c r="C1353" s="9" t="s">
        <v>97</v>
      </c>
      <c r="D1353" s="9">
        <v>2</v>
      </c>
      <c r="E1353" s="11" t="s">
        <v>107</v>
      </c>
      <c r="F1353" s="11" t="str">
        <f t="shared" si="21"/>
        <v>No</v>
      </c>
    </row>
    <row r="1354" spans="1:6" x14ac:dyDescent="0.3">
      <c r="A1354" s="9" t="s">
        <v>27</v>
      </c>
      <c r="B1354" s="9" t="s">
        <v>51</v>
      </c>
      <c r="C1354" s="9" t="s">
        <v>99</v>
      </c>
      <c r="D1354" s="9">
        <v>624</v>
      </c>
      <c r="E1354" s="11" t="s">
        <v>106</v>
      </c>
      <c r="F1354" s="11" t="str">
        <f t="shared" si="21"/>
        <v>Yes</v>
      </c>
    </row>
    <row r="1355" spans="1:6" x14ac:dyDescent="0.3">
      <c r="A1355" s="9" t="s">
        <v>27</v>
      </c>
      <c r="B1355" s="9" t="s">
        <v>52</v>
      </c>
      <c r="C1355" s="9" t="s">
        <v>99</v>
      </c>
      <c r="D1355" s="9">
        <v>590</v>
      </c>
      <c r="E1355" s="11" t="s">
        <v>107</v>
      </c>
      <c r="F1355" s="11" t="str">
        <f t="shared" si="21"/>
        <v>No</v>
      </c>
    </row>
    <row r="1356" spans="1:6" x14ac:dyDescent="0.3">
      <c r="A1356" s="9" t="s">
        <v>27</v>
      </c>
      <c r="B1356" s="9" t="s">
        <v>53</v>
      </c>
      <c r="C1356" s="9" t="s">
        <v>99</v>
      </c>
      <c r="D1356" s="9">
        <v>34</v>
      </c>
      <c r="E1356" s="11" t="s">
        <v>107</v>
      </c>
      <c r="F1356" s="11" t="str">
        <f t="shared" si="21"/>
        <v>No</v>
      </c>
    </row>
    <row r="1357" spans="1:6" x14ac:dyDescent="0.3">
      <c r="A1357" s="9" t="s">
        <v>27</v>
      </c>
      <c r="B1357" s="9" t="s">
        <v>54</v>
      </c>
      <c r="C1357" s="9" t="s">
        <v>98</v>
      </c>
      <c r="D1357" s="9">
        <v>26</v>
      </c>
      <c r="E1357" s="11" t="s">
        <v>106</v>
      </c>
      <c r="F1357" s="11" t="str">
        <f t="shared" si="21"/>
        <v>Yes</v>
      </c>
    </row>
    <row r="1358" spans="1:6" x14ac:dyDescent="0.3">
      <c r="A1358" s="9" t="s">
        <v>27</v>
      </c>
      <c r="B1358" s="9" t="s">
        <v>55</v>
      </c>
      <c r="C1358" s="9" t="s">
        <v>98</v>
      </c>
      <c r="D1358" s="9">
        <v>26</v>
      </c>
      <c r="E1358" s="11" t="s">
        <v>107</v>
      </c>
      <c r="F1358" s="11" t="str">
        <f t="shared" si="21"/>
        <v>No</v>
      </c>
    </row>
    <row r="1359" spans="1:6" x14ac:dyDescent="0.3">
      <c r="A1359" s="9" t="s">
        <v>27</v>
      </c>
      <c r="B1359" s="9" t="s">
        <v>56</v>
      </c>
      <c r="C1359" s="9" t="s">
        <v>98</v>
      </c>
      <c r="D1359" s="9">
        <v>0</v>
      </c>
      <c r="E1359" s="11" t="s">
        <v>107</v>
      </c>
      <c r="F1359" s="11" t="str">
        <f t="shared" si="21"/>
        <v>No</v>
      </c>
    </row>
    <row r="1360" spans="1:6" x14ac:dyDescent="0.3">
      <c r="A1360" s="9" t="s">
        <v>27</v>
      </c>
      <c r="B1360" s="9" t="s">
        <v>74</v>
      </c>
      <c r="C1360" s="9" t="s">
        <v>74</v>
      </c>
      <c r="D1360" s="9">
        <v>14</v>
      </c>
      <c r="E1360" s="11" t="s">
        <v>105</v>
      </c>
      <c r="F1360" s="11" t="str">
        <f t="shared" si="21"/>
        <v>Yes</v>
      </c>
    </row>
    <row r="1361" spans="1:6" x14ac:dyDescent="0.3">
      <c r="A1361" s="9" t="s">
        <v>27</v>
      </c>
      <c r="B1361" s="9" t="s">
        <v>57</v>
      </c>
      <c r="C1361" s="9" t="s">
        <v>100</v>
      </c>
      <c r="D1361" s="9">
        <v>26</v>
      </c>
      <c r="E1361" s="11" t="s">
        <v>106</v>
      </c>
      <c r="F1361" s="11" t="str">
        <f t="shared" si="21"/>
        <v>Yes</v>
      </c>
    </row>
    <row r="1362" spans="1:6" x14ac:dyDescent="0.3">
      <c r="A1362" s="9" t="s">
        <v>27</v>
      </c>
      <c r="B1362" s="9" t="s">
        <v>76</v>
      </c>
      <c r="C1362" s="9" t="s">
        <v>100</v>
      </c>
      <c r="D1362" s="9">
        <v>6</v>
      </c>
      <c r="E1362" s="11" t="s">
        <v>107</v>
      </c>
      <c r="F1362" s="11" t="str">
        <f t="shared" si="21"/>
        <v>No</v>
      </c>
    </row>
    <row r="1363" spans="1:6" x14ac:dyDescent="0.3">
      <c r="A1363" s="9" t="s">
        <v>27</v>
      </c>
      <c r="B1363" s="9" t="s">
        <v>58</v>
      </c>
      <c r="C1363" s="9" t="s">
        <v>100</v>
      </c>
      <c r="D1363" s="9">
        <v>6</v>
      </c>
      <c r="E1363" s="11" t="s">
        <v>107</v>
      </c>
      <c r="F1363" s="11" t="str">
        <f t="shared" si="21"/>
        <v>No</v>
      </c>
    </row>
    <row r="1364" spans="1:6" x14ac:dyDescent="0.3">
      <c r="A1364" s="9" t="s">
        <v>27</v>
      </c>
      <c r="B1364" s="9" t="s">
        <v>59</v>
      </c>
      <c r="C1364" s="9" t="s">
        <v>100</v>
      </c>
      <c r="D1364" s="9">
        <v>0</v>
      </c>
      <c r="E1364" s="11" t="s">
        <v>107</v>
      </c>
      <c r="F1364" s="11" t="str">
        <f t="shared" si="21"/>
        <v>No</v>
      </c>
    </row>
    <row r="1365" spans="1:6" x14ac:dyDescent="0.3">
      <c r="A1365" s="9" t="s">
        <v>27</v>
      </c>
      <c r="B1365" s="9" t="s">
        <v>60</v>
      </c>
      <c r="C1365" s="9" t="s">
        <v>100</v>
      </c>
      <c r="D1365" s="9">
        <v>0</v>
      </c>
      <c r="E1365" s="11" t="s">
        <v>107</v>
      </c>
      <c r="F1365" s="11" t="str">
        <f t="shared" si="21"/>
        <v>No</v>
      </c>
    </row>
    <row r="1366" spans="1:6" x14ac:dyDescent="0.3">
      <c r="A1366" s="9" t="s">
        <v>27</v>
      </c>
      <c r="B1366" s="9" t="s">
        <v>61</v>
      </c>
      <c r="C1366" s="9" t="s">
        <v>100</v>
      </c>
      <c r="D1366" s="9">
        <v>14</v>
      </c>
      <c r="E1366" s="11" t="s">
        <v>107</v>
      </c>
      <c r="F1366" s="11" t="str">
        <f t="shared" si="21"/>
        <v>No</v>
      </c>
    </row>
    <row r="1367" spans="1:6" x14ac:dyDescent="0.3">
      <c r="A1367" s="9" t="s">
        <v>27</v>
      </c>
      <c r="B1367" s="9" t="s">
        <v>78</v>
      </c>
      <c r="C1367" s="9" t="s">
        <v>95</v>
      </c>
      <c r="D1367" s="9">
        <v>0</v>
      </c>
      <c r="E1367" s="11" t="s">
        <v>105</v>
      </c>
      <c r="F1367" s="11" t="str">
        <f t="shared" si="21"/>
        <v>Yes</v>
      </c>
    </row>
    <row r="1368" spans="1:6" x14ac:dyDescent="0.3">
      <c r="A1368" s="9" t="s">
        <v>27</v>
      </c>
      <c r="B1368" s="9" t="s">
        <v>62</v>
      </c>
      <c r="C1368" s="9" t="s">
        <v>101</v>
      </c>
      <c r="D1368" s="9">
        <v>77</v>
      </c>
      <c r="E1368" s="11" t="s">
        <v>106</v>
      </c>
      <c r="F1368" s="11" t="str">
        <f t="shared" si="21"/>
        <v>Yes</v>
      </c>
    </row>
    <row r="1369" spans="1:6" x14ac:dyDescent="0.3">
      <c r="A1369" s="9" t="s">
        <v>27</v>
      </c>
      <c r="B1369" s="9" t="s">
        <v>63</v>
      </c>
      <c r="C1369" s="9" t="s">
        <v>101</v>
      </c>
      <c r="D1369" s="9">
        <v>51</v>
      </c>
      <c r="E1369" s="11" t="s">
        <v>107</v>
      </c>
      <c r="F1369" s="11" t="str">
        <f t="shared" si="21"/>
        <v>No</v>
      </c>
    </row>
    <row r="1370" spans="1:6" x14ac:dyDescent="0.3">
      <c r="A1370" s="9" t="s">
        <v>27</v>
      </c>
      <c r="B1370" s="9" t="s">
        <v>64</v>
      </c>
      <c r="C1370" s="9" t="s">
        <v>101</v>
      </c>
      <c r="D1370" s="9">
        <v>26</v>
      </c>
      <c r="E1370" s="11" t="s">
        <v>107</v>
      </c>
      <c r="F1370" s="11" t="str">
        <f t="shared" si="21"/>
        <v>No</v>
      </c>
    </row>
    <row r="1371" spans="1:6" x14ac:dyDescent="0.3">
      <c r="A1371" s="9" t="s">
        <v>27</v>
      </c>
      <c r="B1371" s="9" t="s">
        <v>77</v>
      </c>
      <c r="C1371" s="9" t="s">
        <v>102</v>
      </c>
      <c r="D1371" s="9">
        <v>808</v>
      </c>
      <c r="E1371" s="11" t="s">
        <v>106</v>
      </c>
      <c r="F1371" s="11" t="str">
        <f t="shared" si="21"/>
        <v>Yes</v>
      </c>
    </row>
    <row r="1372" spans="1:6" x14ac:dyDescent="0.3">
      <c r="A1372" s="9" t="s">
        <v>27</v>
      </c>
      <c r="B1372" s="9" t="s">
        <v>65</v>
      </c>
      <c r="C1372" s="9" t="s">
        <v>102</v>
      </c>
      <c r="D1372" s="9">
        <v>635</v>
      </c>
      <c r="E1372" s="11" t="s">
        <v>107</v>
      </c>
      <c r="F1372" s="11" t="str">
        <f t="shared" si="21"/>
        <v>No</v>
      </c>
    </row>
    <row r="1373" spans="1:6" x14ac:dyDescent="0.3">
      <c r="A1373" s="9" t="s">
        <v>27</v>
      </c>
      <c r="B1373" s="9" t="s">
        <v>66</v>
      </c>
      <c r="C1373" s="9" t="s">
        <v>102</v>
      </c>
      <c r="D1373" s="9">
        <v>121</v>
      </c>
      <c r="E1373" s="11" t="s">
        <v>107</v>
      </c>
      <c r="F1373" s="11" t="str">
        <f t="shared" si="21"/>
        <v>No</v>
      </c>
    </row>
    <row r="1374" spans="1:6" x14ac:dyDescent="0.3">
      <c r="A1374" s="9" t="s">
        <v>27</v>
      </c>
      <c r="B1374" s="9" t="s">
        <v>67</v>
      </c>
      <c r="C1374" s="9" t="s">
        <v>102</v>
      </c>
      <c r="D1374" s="9">
        <v>27</v>
      </c>
      <c r="E1374" s="11" t="s">
        <v>107</v>
      </c>
      <c r="F1374" s="11" t="str">
        <f t="shared" si="21"/>
        <v>No</v>
      </c>
    </row>
    <row r="1375" spans="1:6" x14ac:dyDescent="0.3">
      <c r="A1375" s="9" t="s">
        <v>27</v>
      </c>
      <c r="B1375" s="9" t="s">
        <v>68</v>
      </c>
      <c r="C1375" s="9" t="s">
        <v>102</v>
      </c>
      <c r="D1375" s="9">
        <v>9</v>
      </c>
      <c r="E1375" s="11" t="s">
        <v>107</v>
      </c>
      <c r="F1375" s="11" t="str">
        <f t="shared" si="21"/>
        <v>No</v>
      </c>
    </row>
    <row r="1376" spans="1:6" x14ac:dyDescent="0.3">
      <c r="A1376" s="9" t="s">
        <v>27</v>
      </c>
      <c r="B1376" s="9" t="s">
        <v>69</v>
      </c>
      <c r="C1376" s="9" t="s">
        <v>102</v>
      </c>
      <c r="D1376" s="9">
        <v>13</v>
      </c>
      <c r="E1376" s="11" t="s">
        <v>107</v>
      </c>
      <c r="F1376" s="11" t="str">
        <f t="shared" si="21"/>
        <v>No</v>
      </c>
    </row>
    <row r="1377" spans="1:6" x14ac:dyDescent="0.3">
      <c r="A1377" s="9" t="s">
        <v>27</v>
      </c>
      <c r="B1377" s="9" t="s">
        <v>70</v>
      </c>
      <c r="C1377" s="9" t="s">
        <v>102</v>
      </c>
      <c r="D1377" s="9">
        <v>3</v>
      </c>
      <c r="E1377" s="11" t="s">
        <v>107</v>
      </c>
      <c r="F1377" s="11" t="str">
        <f t="shared" si="21"/>
        <v>No</v>
      </c>
    </row>
    <row r="1378" spans="1:6" x14ac:dyDescent="0.3">
      <c r="A1378" s="9" t="s">
        <v>27</v>
      </c>
      <c r="B1378" s="9" t="s">
        <v>75</v>
      </c>
      <c r="C1378" s="9" t="s">
        <v>103</v>
      </c>
      <c r="D1378" s="9">
        <v>0</v>
      </c>
      <c r="E1378" s="11" t="s">
        <v>105</v>
      </c>
      <c r="F1378" s="11" t="str">
        <f t="shared" si="21"/>
        <v>Yes</v>
      </c>
    </row>
    <row r="1379" spans="1:6" x14ac:dyDescent="0.3">
      <c r="A1379" s="9" t="s">
        <v>28</v>
      </c>
      <c r="B1379" s="9" t="s">
        <v>88</v>
      </c>
      <c r="C1379" s="9" t="s">
        <v>92</v>
      </c>
      <c r="D1379" s="9">
        <v>7</v>
      </c>
      <c r="E1379" s="11" t="s">
        <v>105</v>
      </c>
      <c r="F1379" s="11" t="str">
        <f t="shared" si="21"/>
        <v>Yes</v>
      </c>
    </row>
    <row r="1380" spans="1:6" x14ac:dyDescent="0.3">
      <c r="A1380" s="9" t="s">
        <v>28</v>
      </c>
      <c r="B1380" s="9" t="s">
        <v>38</v>
      </c>
      <c r="C1380" s="9" t="s">
        <v>93</v>
      </c>
      <c r="D1380" s="9">
        <v>350</v>
      </c>
      <c r="E1380" s="11" t="s">
        <v>105</v>
      </c>
      <c r="F1380" s="11" t="str">
        <f t="shared" si="21"/>
        <v>Yes</v>
      </c>
    </row>
    <row r="1381" spans="1:6" x14ac:dyDescent="0.3">
      <c r="A1381" s="9" t="s">
        <v>28</v>
      </c>
      <c r="B1381" s="9" t="s">
        <v>87</v>
      </c>
      <c r="C1381" s="9" t="s">
        <v>94</v>
      </c>
      <c r="D1381" s="9">
        <v>419</v>
      </c>
      <c r="E1381" s="11" t="s">
        <v>105</v>
      </c>
      <c r="F1381" s="11" t="str">
        <f t="shared" si="21"/>
        <v>Yes</v>
      </c>
    </row>
    <row r="1382" spans="1:6" x14ac:dyDescent="0.3">
      <c r="A1382" s="9" t="s">
        <v>28</v>
      </c>
      <c r="B1382" s="9" t="s">
        <v>86</v>
      </c>
      <c r="C1382" s="9" t="s">
        <v>86</v>
      </c>
      <c r="D1382" s="9">
        <v>16</v>
      </c>
      <c r="E1382" s="11" t="s">
        <v>105</v>
      </c>
      <c r="F1382" s="11" t="str">
        <f t="shared" si="21"/>
        <v>Yes</v>
      </c>
    </row>
    <row r="1383" spans="1:6" x14ac:dyDescent="0.3">
      <c r="A1383" s="9" t="s">
        <v>28</v>
      </c>
      <c r="B1383" s="9" t="s">
        <v>85</v>
      </c>
      <c r="C1383" s="9" t="s">
        <v>85</v>
      </c>
      <c r="D1383" s="9">
        <v>31</v>
      </c>
      <c r="E1383" s="11" t="s">
        <v>105</v>
      </c>
      <c r="F1383" s="11" t="str">
        <f t="shared" si="21"/>
        <v>Yes</v>
      </c>
    </row>
    <row r="1384" spans="1:6" x14ac:dyDescent="0.3">
      <c r="A1384" s="9" t="s">
        <v>28</v>
      </c>
      <c r="B1384" s="9" t="s">
        <v>84</v>
      </c>
      <c r="C1384" s="9" t="s">
        <v>85</v>
      </c>
      <c r="D1384" s="9">
        <v>6</v>
      </c>
      <c r="E1384" s="11" t="s">
        <v>105</v>
      </c>
      <c r="F1384" s="11" t="str">
        <f t="shared" si="21"/>
        <v>Yes</v>
      </c>
    </row>
    <row r="1385" spans="1:6" x14ac:dyDescent="0.3">
      <c r="A1385" s="9" t="s">
        <v>28</v>
      </c>
      <c r="B1385" s="9" t="s">
        <v>83</v>
      </c>
      <c r="C1385" s="9" t="s">
        <v>95</v>
      </c>
      <c r="D1385" s="9">
        <v>19698</v>
      </c>
      <c r="E1385" s="11" t="s">
        <v>105</v>
      </c>
      <c r="F1385" s="11" t="str">
        <f t="shared" si="21"/>
        <v>Yes</v>
      </c>
    </row>
    <row r="1386" spans="1:6" x14ac:dyDescent="0.3">
      <c r="A1386" s="9" t="s">
        <v>28</v>
      </c>
      <c r="B1386" s="9" t="s">
        <v>39</v>
      </c>
      <c r="C1386" s="9" t="s">
        <v>40</v>
      </c>
      <c r="D1386" s="9">
        <v>6544</v>
      </c>
      <c r="E1386" s="11" t="s">
        <v>106</v>
      </c>
      <c r="F1386" s="11" t="str">
        <f t="shared" si="21"/>
        <v>Yes</v>
      </c>
    </row>
    <row r="1387" spans="1:6" x14ac:dyDescent="0.3">
      <c r="A1387" s="9" t="s">
        <v>28</v>
      </c>
      <c r="B1387" s="9" t="s">
        <v>40</v>
      </c>
      <c r="C1387" s="9" t="s">
        <v>40</v>
      </c>
      <c r="D1387" s="9">
        <v>3935</v>
      </c>
      <c r="E1387" s="11" t="s">
        <v>107</v>
      </c>
      <c r="F1387" s="11" t="str">
        <f t="shared" si="21"/>
        <v>No</v>
      </c>
    </row>
    <row r="1388" spans="1:6" x14ac:dyDescent="0.3">
      <c r="A1388" s="9" t="s">
        <v>28</v>
      </c>
      <c r="B1388" s="9" t="s">
        <v>41</v>
      </c>
      <c r="C1388" s="9" t="s">
        <v>40</v>
      </c>
      <c r="D1388" s="9">
        <v>6</v>
      </c>
      <c r="E1388" s="11" t="s">
        <v>107</v>
      </c>
      <c r="F1388" s="11" t="str">
        <f t="shared" si="21"/>
        <v>No</v>
      </c>
    </row>
    <row r="1389" spans="1:6" x14ac:dyDescent="0.3">
      <c r="A1389" s="9" t="s">
        <v>28</v>
      </c>
      <c r="B1389" s="9" t="s">
        <v>42</v>
      </c>
      <c r="C1389" s="9" t="s">
        <v>40</v>
      </c>
      <c r="D1389" s="9">
        <v>17</v>
      </c>
      <c r="E1389" s="11" t="s">
        <v>107</v>
      </c>
      <c r="F1389" s="11" t="str">
        <f t="shared" si="21"/>
        <v>No</v>
      </c>
    </row>
    <row r="1390" spans="1:6" x14ac:dyDescent="0.3">
      <c r="A1390" s="9" t="s">
        <v>28</v>
      </c>
      <c r="B1390" s="9" t="s">
        <v>43</v>
      </c>
      <c r="C1390" s="9" t="s">
        <v>40</v>
      </c>
      <c r="D1390" s="9">
        <v>515</v>
      </c>
      <c r="E1390" s="11" t="s">
        <v>106</v>
      </c>
      <c r="F1390" s="11" t="str">
        <f t="shared" si="21"/>
        <v>No</v>
      </c>
    </row>
    <row r="1391" spans="1:6" x14ac:dyDescent="0.3">
      <c r="A1391" s="9" t="s">
        <v>28</v>
      </c>
      <c r="B1391" s="9" t="s">
        <v>44</v>
      </c>
      <c r="C1391" s="9" t="s">
        <v>40</v>
      </c>
      <c r="D1391" s="9">
        <v>125</v>
      </c>
      <c r="E1391" s="11" t="s">
        <v>107</v>
      </c>
      <c r="F1391" s="11" t="str">
        <f t="shared" si="21"/>
        <v>No</v>
      </c>
    </row>
    <row r="1392" spans="1:6" x14ac:dyDescent="0.3">
      <c r="A1392" s="9" t="s">
        <v>28</v>
      </c>
      <c r="B1392" s="9" t="s">
        <v>45</v>
      </c>
      <c r="C1392" s="9" t="s">
        <v>40</v>
      </c>
      <c r="D1392" s="9">
        <v>390</v>
      </c>
      <c r="E1392" s="11" t="s">
        <v>107</v>
      </c>
      <c r="F1392" s="11" t="str">
        <f t="shared" si="21"/>
        <v>No</v>
      </c>
    </row>
    <row r="1393" spans="1:6" x14ac:dyDescent="0.3">
      <c r="A1393" s="9" t="s">
        <v>28</v>
      </c>
      <c r="B1393" s="9" t="s">
        <v>71</v>
      </c>
      <c r="C1393" s="9" t="s">
        <v>40</v>
      </c>
      <c r="D1393" s="9">
        <v>16</v>
      </c>
      <c r="E1393" s="11" t="s">
        <v>105</v>
      </c>
      <c r="F1393" s="11" t="str">
        <f t="shared" si="21"/>
        <v>Yes</v>
      </c>
    </row>
    <row r="1394" spans="1:6" x14ac:dyDescent="0.3">
      <c r="A1394" s="9" t="s">
        <v>28</v>
      </c>
      <c r="B1394" s="9" t="s">
        <v>72</v>
      </c>
      <c r="C1394" s="9" t="s">
        <v>40</v>
      </c>
      <c r="D1394" s="9">
        <v>1</v>
      </c>
      <c r="E1394" s="11" t="s">
        <v>105</v>
      </c>
      <c r="F1394" s="11" t="str">
        <f t="shared" si="21"/>
        <v>Yes</v>
      </c>
    </row>
    <row r="1395" spans="1:6" x14ac:dyDescent="0.3">
      <c r="A1395" s="9" t="s">
        <v>28</v>
      </c>
      <c r="B1395" s="9" t="s">
        <v>82</v>
      </c>
      <c r="C1395" s="9" t="s">
        <v>40</v>
      </c>
      <c r="D1395" s="9">
        <v>2054</v>
      </c>
      <c r="E1395" s="11" t="s">
        <v>105</v>
      </c>
      <c r="F1395" s="11" t="str">
        <f t="shared" si="21"/>
        <v>Yes</v>
      </c>
    </row>
    <row r="1396" spans="1:6" x14ac:dyDescent="0.3">
      <c r="A1396" s="9" t="s">
        <v>28</v>
      </c>
      <c r="B1396" s="9" t="s">
        <v>81</v>
      </c>
      <c r="C1396" s="9" t="s">
        <v>81</v>
      </c>
      <c r="D1396" s="9">
        <v>29</v>
      </c>
      <c r="E1396" s="11" t="s">
        <v>105</v>
      </c>
      <c r="F1396" s="11" t="str">
        <f t="shared" si="21"/>
        <v>Yes</v>
      </c>
    </row>
    <row r="1397" spans="1:6" x14ac:dyDescent="0.3">
      <c r="A1397" s="9" t="s">
        <v>28</v>
      </c>
      <c r="B1397" s="9" t="s">
        <v>73</v>
      </c>
      <c r="C1397" s="9" t="s">
        <v>81</v>
      </c>
      <c r="D1397" s="9">
        <v>2</v>
      </c>
      <c r="E1397" s="11" t="s">
        <v>105</v>
      </c>
      <c r="F1397" s="11" t="str">
        <f t="shared" si="21"/>
        <v>Yes</v>
      </c>
    </row>
    <row r="1398" spans="1:6" x14ac:dyDescent="0.3">
      <c r="A1398" s="9" t="s">
        <v>28</v>
      </c>
      <c r="B1398" s="9" t="s">
        <v>80</v>
      </c>
      <c r="C1398" s="9" t="s">
        <v>81</v>
      </c>
      <c r="D1398" s="9">
        <v>0</v>
      </c>
      <c r="E1398" s="11" t="s">
        <v>105</v>
      </c>
      <c r="F1398" s="11" t="str">
        <f t="shared" si="21"/>
        <v>Yes</v>
      </c>
    </row>
    <row r="1399" spans="1:6" x14ac:dyDescent="0.3">
      <c r="A1399" s="9" t="s">
        <v>28</v>
      </c>
      <c r="B1399" s="9" t="s">
        <v>79</v>
      </c>
      <c r="C1399" s="9" t="s">
        <v>96</v>
      </c>
      <c r="D1399" s="9">
        <v>1110</v>
      </c>
      <c r="E1399" s="11" t="s">
        <v>106</v>
      </c>
      <c r="F1399" s="11" t="str">
        <f t="shared" si="21"/>
        <v>Yes</v>
      </c>
    </row>
    <row r="1400" spans="1:6" x14ac:dyDescent="0.3">
      <c r="A1400" s="9" t="s">
        <v>28</v>
      </c>
      <c r="B1400" s="9" t="s">
        <v>46</v>
      </c>
      <c r="C1400" s="9" t="s">
        <v>96</v>
      </c>
      <c r="D1400" s="9">
        <v>1110</v>
      </c>
      <c r="E1400" s="11" t="s">
        <v>107</v>
      </c>
      <c r="F1400" s="11" t="str">
        <f t="shared" si="21"/>
        <v>No</v>
      </c>
    </row>
    <row r="1401" spans="1:6" x14ac:dyDescent="0.3">
      <c r="A1401" s="9" t="s">
        <v>28</v>
      </c>
      <c r="B1401" s="9" t="s">
        <v>47</v>
      </c>
      <c r="C1401" s="9" t="s">
        <v>96</v>
      </c>
      <c r="D1401" s="9">
        <v>0</v>
      </c>
      <c r="E1401" s="11" t="s">
        <v>107</v>
      </c>
      <c r="F1401" s="11" t="str">
        <f t="shared" si="21"/>
        <v>No</v>
      </c>
    </row>
    <row r="1402" spans="1:6" x14ac:dyDescent="0.3">
      <c r="A1402" s="9" t="s">
        <v>28</v>
      </c>
      <c r="B1402" s="9" t="s">
        <v>48</v>
      </c>
      <c r="C1402" s="9" t="s">
        <v>97</v>
      </c>
      <c r="D1402" s="9">
        <v>825</v>
      </c>
      <c r="E1402" s="11" t="s">
        <v>106</v>
      </c>
      <c r="F1402" s="11" t="str">
        <f t="shared" si="21"/>
        <v>Yes</v>
      </c>
    </row>
    <row r="1403" spans="1:6" x14ac:dyDescent="0.3">
      <c r="A1403" s="9" t="s">
        <v>28</v>
      </c>
      <c r="B1403" s="9" t="s">
        <v>49</v>
      </c>
      <c r="C1403" s="9" t="s">
        <v>97</v>
      </c>
      <c r="D1403" s="9">
        <v>825</v>
      </c>
      <c r="E1403" s="11" t="s">
        <v>107</v>
      </c>
      <c r="F1403" s="11" t="str">
        <f t="shared" si="21"/>
        <v>No</v>
      </c>
    </row>
    <row r="1404" spans="1:6" x14ac:dyDescent="0.3">
      <c r="A1404" s="9" t="s">
        <v>28</v>
      </c>
      <c r="B1404" s="9" t="s">
        <v>50</v>
      </c>
      <c r="C1404" s="9" t="s">
        <v>97</v>
      </c>
      <c r="D1404" s="9">
        <v>0</v>
      </c>
      <c r="E1404" s="11" t="s">
        <v>107</v>
      </c>
      <c r="F1404" s="11" t="str">
        <f t="shared" si="21"/>
        <v>No</v>
      </c>
    </row>
    <row r="1405" spans="1:6" x14ac:dyDescent="0.3">
      <c r="A1405" s="9" t="s">
        <v>28</v>
      </c>
      <c r="B1405" s="9" t="s">
        <v>51</v>
      </c>
      <c r="C1405" s="9" t="s">
        <v>99</v>
      </c>
      <c r="D1405" s="9">
        <v>2479</v>
      </c>
      <c r="E1405" s="11" t="s">
        <v>106</v>
      </c>
      <c r="F1405" s="11" t="str">
        <f t="shared" si="21"/>
        <v>Yes</v>
      </c>
    </row>
    <row r="1406" spans="1:6" x14ac:dyDescent="0.3">
      <c r="A1406" s="9" t="s">
        <v>28</v>
      </c>
      <c r="B1406" s="9" t="s">
        <v>52</v>
      </c>
      <c r="C1406" s="9" t="s">
        <v>99</v>
      </c>
      <c r="D1406" s="9">
        <v>2479</v>
      </c>
      <c r="E1406" s="11" t="s">
        <v>107</v>
      </c>
      <c r="F1406" s="11" t="str">
        <f t="shared" si="21"/>
        <v>No</v>
      </c>
    </row>
    <row r="1407" spans="1:6" x14ac:dyDescent="0.3">
      <c r="A1407" s="9" t="s">
        <v>28</v>
      </c>
      <c r="B1407" s="9" t="s">
        <v>53</v>
      </c>
      <c r="C1407" s="9" t="s">
        <v>99</v>
      </c>
      <c r="D1407" s="9">
        <v>0</v>
      </c>
      <c r="E1407" s="11" t="s">
        <v>107</v>
      </c>
      <c r="F1407" s="11" t="str">
        <f t="shared" si="21"/>
        <v>No</v>
      </c>
    </row>
    <row r="1408" spans="1:6" x14ac:dyDescent="0.3">
      <c r="A1408" s="9" t="s">
        <v>28</v>
      </c>
      <c r="B1408" s="9" t="s">
        <v>54</v>
      </c>
      <c r="C1408" s="9" t="s">
        <v>98</v>
      </c>
      <c r="D1408" s="9">
        <v>412</v>
      </c>
      <c r="E1408" s="11" t="s">
        <v>106</v>
      </c>
      <c r="F1408" s="11" t="str">
        <f t="shared" si="21"/>
        <v>Yes</v>
      </c>
    </row>
    <row r="1409" spans="1:6" x14ac:dyDescent="0.3">
      <c r="A1409" s="9" t="s">
        <v>28</v>
      </c>
      <c r="B1409" s="9" t="s">
        <v>55</v>
      </c>
      <c r="C1409" s="9" t="s">
        <v>98</v>
      </c>
      <c r="D1409" s="9">
        <v>412</v>
      </c>
      <c r="E1409" s="11" t="s">
        <v>107</v>
      </c>
      <c r="F1409" s="11" t="str">
        <f t="shared" si="21"/>
        <v>No</v>
      </c>
    </row>
    <row r="1410" spans="1:6" x14ac:dyDescent="0.3">
      <c r="A1410" s="9" t="s">
        <v>28</v>
      </c>
      <c r="B1410" s="9" t="s">
        <v>56</v>
      </c>
      <c r="C1410" s="9" t="s">
        <v>98</v>
      </c>
      <c r="D1410" s="9">
        <v>0</v>
      </c>
      <c r="E1410" s="11" t="s">
        <v>107</v>
      </c>
      <c r="F1410" s="11" t="str">
        <f t="shared" ref="F1410:F1473" si="22">IF(E1410="Standalone","Yes",IF(AND(E1410="Total",OR(B1410="Kidnapping &amp; Abduction (Total)",B1410="Rape (Total)",B1410="Attempt to Rape (Total)",B1410="Assault to Outrage Modesty (Total)",B1410="Insult to Modesty (Total)",B1410="Immoral Traffic (Prevention) Act (Total)",B1410="Women-Centric Cyber Crime (Total)",B1410="POCSO (Protection of Children from Sexual Offences Act) (Total)")),"Yes","No"))</f>
        <v>No</v>
      </c>
    </row>
    <row r="1411" spans="1:6" x14ac:dyDescent="0.3">
      <c r="A1411" s="9" t="s">
        <v>28</v>
      </c>
      <c r="B1411" s="9" t="s">
        <v>74</v>
      </c>
      <c r="C1411" s="9" t="s">
        <v>74</v>
      </c>
      <c r="D1411" s="9">
        <v>0</v>
      </c>
      <c r="E1411" s="11" t="s">
        <v>105</v>
      </c>
      <c r="F1411" s="11" t="str">
        <f t="shared" si="22"/>
        <v>Yes</v>
      </c>
    </row>
    <row r="1412" spans="1:6" x14ac:dyDescent="0.3">
      <c r="A1412" s="9" t="s">
        <v>28</v>
      </c>
      <c r="B1412" s="9" t="s">
        <v>57</v>
      </c>
      <c r="C1412" s="9" t="s">
        <v>100</v>
      </c>
      <c r="D1412" s="9">
        <v>32</v>
      </c>
      <c r="E1412" s="11" t="s">
        <v>106</v>
      </c>
      <c r="F1412" s="11" t="str">
        <f t="shared" si="22"/>
        <v>Yes</v>
      </c>
    </row>
    <row r="1413" spans="1:6" x14ac:dyDescent="0.3">
      <c r="A1413" s="9" t="s">
        <v>28</v>
      </c>
      <c r="B1413" s="9" t="s">
        <v>76</v>
      </c>
      <c r="C1413" s="9" t="s">
        <v>100</v>
      </c>
      <c r="D1413" s="9">
        <v>0</v>
      </c>
      <c r="E1413" s="11" t="s">
        <v>107</v>
      </c>
      <c r="F1413" s="11" t="str">
        <f t="shared" si="22"/>
        <v>No</v>
      </c>
    </row>
    <row r="1414" spans="1:6" x14ac:dyDescent="0.3">
      <c r="A1414" s="9" t="s">
        <v>28</v>
      </c>
      <c r="B1414" s="9" t="s">
        <v>58</v>
      </c>
      <c r="C1414" s="9" t="s">
        <v>100</v>
      </c>
      <c r="D1414" s="9">
        <v>0</v>
      </c>
      <c r="E1414" s="11" t="s">
        <v>107</v>
      </c>
      <c r="F1414" s="11" t="str">
        <f t="shared" si="22"/>
        <v>No</v>
      </c>
    </row>
    <row r="1415" spans="1:6" x14ac:dyDescent="0.3">
      <c r="A1415" s="9" t="s">
        <v>28</v>
      </c>
      <c r="B1415" s="9" t="s">
        <v>59</v>
      </c>
      <c r="C1415" s="9" t="s">
        <v>100</v>
      </c>
      <c r="D1415" s="9">
        <v>0</v>
      </c>
      <c r="E1415" s="11" t="s">
        <v>107</v>
      </c>
      <c r="F1415" s="11" t="str">
        <f t="shared" si="22"/>
        <v>No</v>
      </c>
    </row>
    <row r="1416" spans="1:6" x14ac:dyDescent="0.3">
      <c r="A1416" s="9" t="s">
        <v>28</v>
      </c>
      <c r="B1416" s="9" t="s">
        <v>60</v>
      </c>
      <c r="C1416" s="9" t="s">
        <v>100</v>
      </c>
      <c r="D1416" s="9">
        <v>0</v>
      </c>
      <c r="E1416" s="11" t="s">
        <v>107</v>
      </c>
      <c r="F1416" s="11" t="str">
        <f t="shared" si="22"/>
        <v>No</v>
      </c>
    </row>
    <row r="1417" spans="1:6" x14ac:dyDescent="0.3">
      <c r="A1417" s="9" t="s">
        <v>28</v>
      </c>
      <c r="B1417" s="9" t="s">
        <v>61</v>
      </c>
      <c r="C1417" s="9" t="s">
        <v>100</v>
      </c>
      <c r="D1417" s="9">
        <v>32</v>
      </c>
      <c r="E1417" s="11" t="s">
        <v>107</v>
      </c>
      <c r="F1417" s="11" t="str">
        <f t="shared" si="22"/>
        <v>No</v>
      </c>
    </row>
    <row r="1418" spans="1:6" x14ac:dyDescent="0.3">
      <c r="A1418" s="9" t="s">
        <v>28</v>
      </c>
      <c r="B1418" s="9" t="s">
        <v>78</v>
      </c>
      <c r="C1418" s="9" t="s">
        <v>95</v>
      </c>
      <c r="D1418" s="9">
        <v>0</v>
      </c>
      <c r="E1418" s="11" t="s">
        <v>105</v>
      </c>
      <c r="F1418" s="11" t="str">
        <f t="shared" si="22"/>
        <v>Yes</v>
      </c>
    </row>
    <row r="1419" spans="1:6" x14ac:dyDescent="0.3">
      <c r="A1419" s="9" t="s">
        <v>28</v>
      </c>
      <c r="B1419" s="9" t="s">
        <v>62</v>
      </c>
      <c r="C1419" s="9" t="s">
        <v>101</v>
      </c>
      <c r="D1419" s="9">
        <v>9</v>
      </c>
      <c r="E1419" s="11" t="s">
        <v>106</v>
      </c>
      <c r="F1419" s="11" t="str">
        <f t="shared" si="22"/>
        <v>Yes</v>
      </c>
    </row>
    <row r="1420" spans="1:6" x14ac:dyDescent="0.3">
      <c r="A1420" s="9" t="s">
        <v>28</v>
      </c>
      <c r="B1420" s="9" t="s">
        <v>63</v>
      </c>
      <c r="C1420" s="9" t="s">
        <v>101</v>
      </c>
      <c r="D1420" s="9">
        <v>6</v>
      </c>
      <c r="E1420" s="11" t="s">
        <v>107</v>
      </c>
      <c r="F1420" s="11" t="str">
        <f t="shared" si="22"/>
        <v>No</v>
      </c>
    </row>
    <row r="1421" spans="1:6" x14ac:dyDescent="0.3">
      <c r="A1421" s="9" t="s">
        <v>28</v>
      </c>
      <c r="B1421" s="9" t="s">
        <v>64</v>
      </c>
      <c r="C1421" s="9" t="s">
        <v>101</v>
      </c>
      <c r="D1421" s="9">
        <v>3</v>
      </c>
      <c r="E1421" s="11" t="s">
        <v>107</v>
      </c>
      <c r="F1421" s="11" t="str">
        <f t="shared" si="22"/>
        <v>No</v>
      </c>
    </row>
    <row r="1422" spans="1:6" x14ac:dyDescent="0.3">
      <c r="A1422" s="9" t="s">
        <v>28</v>
      </c>
      <c r="B1422" s="9" t="s">
        <v>77</v>
      </c>
      <c r="C1422" s="9" t="s">
        <v>102</v>
      </c>
      <c r="D1422" s="9">
        <v>2721</v>
      </c>
      <c r="E1422" s="11" t="s">
        <v>106</v>
      </c>
      <c r="F1422" s="11" t="str">
        <f t="shared" si="22"/>
        <v>Yes</v>
      </c>
    </row>
    <row r="1423" spans="1:6" x14ac:dyDescent="0.3">
      <c r="A1423" s="9" t="s">
        <v>28</v>
      </c>
      <c r="B1423" s="9" t="s">
        <v>65</v>
      </c>
      <c r="C1423" s="9" t="s">
        <v>102</v>
      </c>
      <c r="D1423" s="9">
        <v>1798</v>
      </c>
      <c r="E1423" s="11" t="s">
        <v>107</v>
      </c>
      <c r="F1423" s="11" t="str">
        <f t="shared" si="22"/>
        <v>No</v>
      </c>
    </row>
    <row r="1424" spans="1:6" x14ac:dyDescent="0.3">
      <c r="A1424" s="9" t="s">
        <v>28</v>
      </c>
      <c r="B1424" s="9" t="s">
        <v>66</v>
      </c>
      <c r="C1424" s="9" t="s">
        <v>102</v>
      </c>
      <c r="D1424" s="9">
        <v>644</v>
      </c>
      <c r="E1424" s="11" t="s">
        <v>107</v>
      </c>
      <c r="F1424" s="11" t="str">
        <f t="shared" si="22"/>
        <v>No</v>
      </c>
    </row>
    <row r="1425" spans="1:6" x14ac:dyDescent="0.3">
      <c r="A1425" s="9" t="s">
        <v>28</v>
      </c>
      <c r="B1425" s="9" t="s">
        <v>67</v>
      </c>
      <c r="C1425" s="9" t="s">
        <v>102</v>
      </c>
      <c r="D1425" s="9">
        <v>244</v>
      </c>
      <c r="E1425" s="11" t="s">
        <v>107</v>
      </c>
      <c r="F1425" s="11" t="str">
        <f t="shared" si="22"/>
        <v>No</v>
      </c>
    </row>
    <row r="1426" spans="1:6" x14ac:dyDescent="0.3">
      <c r="A1426" s="9" t="s">
        <v>28</v>
      </c>
      <c r="B1426" s="9" t="s">
        <v>68</v>
      </c>
      <c r="C1426" s="9" t="s">
        <v>102</v>
      </c>
      <c r="D1426" s="9">
        <v>29</v>
      </c>
      <c r="E1426" s="11" t="s">
        <v>107</v>
      </c>
      <c r="F1426" s="11" t="str">
        <f t="shared" si="22"/>
        <v>No</v>
      </c>
    </row>
    <row r="1427" spans="1:6" x14ac:dyDescent="0.3">
      <c r="A1427" s="9" t="s">
        <v>28</v>
      </c>
      <c r="B1427" s="9" t="s">
        <v>69</v>
      </c>
      <c r="C1427" s="9" t="s">
        <v>102</v>
      </c>
      <c r="D1427" s="9">
        <v>6</v>
      </c>
      <c r="E1427" s="11" t="s">
        <v>107</v>
      </c>
      <c r="F1427" s="11" t="str">
        <f t="shared" si="22"/>
        <v>No</v>
      </c>
    </row>
    <row r="1428" spans="1:6" x14ac:dyDescent="0.3">
      <c r="A1428" s="9" t="s">
        <v>28</v>
      </c>
      <c r="B1428" s="9" t="s">
        <v>70</v>
      </c>
      <c r="C1428" s="9" t="s">
        <v>102</v>
      </c>
      <c r="D1428" s="9">
        <v>0</v>
      </c>
      <c r="E1428" s="11" t="s">
        <v>107</v>
      </c>
      <c r="F1428" s="11" t="str">
        <f t="shared" si="22"/>
        <v>No</v>
      </c>
    </row>
    <row r="1429" spans="1:6" x14ac:dyDescent="0.3">
      <c r="A1429" s="9" t="s">
        <v>28</v>
      </c>
      <c r="B1429" s="9" t="s">
        <v>75</v>
      </c>
      <c r="C1429" s="9" t="s">
        <v>103</v>
      </c>
      <c r="D1429" s="9">
        <v>1</v>
      </c>
      <c r="E1429" s="11" t="s">
        <v>105</v>
      </c>
      <c r="F1429" s="11" t="str">
        <f t="shared" si="22"/>
        <v>Yes</v>
      </c>
    </row>
    <row r="1430" spans="1:6" x14ac:dyDescent="0.3">
      <c r="A1430" s="9" t="s">
        <v>29</v>
      </c>
      <c r="B1430" s="9" t="s">
        <v>88</v>
      </c>
      <c r="C1430" s="9" t="s">
        <v>92</v>
      </c>
      <c r="D1430" s="9">
        <v>0</v>
      </c>
      <c r="E1430" s="11" t="s">
        <v>105</v>
      </c>
      <c r="F1430" s="11" t="str">
        <f t="shared" si="22"/>
        <v>Yes</v>
      </c>
    </row>
    <row r="1431" spans="1:6" x14ac:dyDescent="0.3">
      <c r="A1431" s="9" t="s">
        <v>29</v>
      </c>
      <c r="B1431" s="9" t="s">
        <v>38</v>
      </c>
      <c r="C1431" s="9" t="s">
        <v>93</v>
      </c>
      <c r="D1431" s="9">
        <v>0</v>
      </c>
      <c r="E1431" s="11" t="s">
        <v>105</v>
      </c>
      <c r="F1431" s="11" t="str">
        <f t="shared" si="22"/>
        <v>Yes</v>
      </c>
    </row>
    <row r="1432" spans="1:6" x14ac:dyDescent="0.3">
      <c r="A1432" s="9" t="s">
        <v>29</v>
      </c>
      <c r="B1432" s="9" t="s">
        <v>87</v>
      </c>
      <c r="C1432" s="9" t="s">
        <v>94</v>
      </c>
      <c r="D1432" s="9">
        <v>2</v>
      </c>
      <c r="E1432" s="11" t="s">
        <v>105</v>
      </c>
      <c r="F1432" s="11" t="str">
        <f t="shared" si="22"/>
        <v>Yes</v>
      </c>
    </row>
    <row r="1433" spans="1:6" x14ac:dyDescent="0.3">
      <c r="A1433" s="9" t="s">
        <v>29</v>
      </c>
      <c r="B1433" s="9" t="s">
        <v>86</v>
      </c>
      <c r="C1433" s="9" t="s">
        <v>86</v>
      </c>
      <c r="D1433" s="9">
        <v>0</v>
      </c>
      <c r="E1433" s="11" t="s">
        <v>105</v>
      </c>
      <c r="F1433" s="11" t="str">
        <f t="shared" si="22"/>
        <v>Yes</v>
      </c>
    </row>
    <row r="1434" spans="1:6" x14ac:dyDescent="0.3">
      <c r="A1434" s="9" t="s">
        <v>29</v>
      </c>
      <c r="B1434" s="9" t="s">
        <v>85</v>
      </c>
      <c r="C1434" s="9" t="s">
        <v>85</v>
      </c>
      <c r="D1434" s="9">
        <v>0</v>
      </c>
      <c r="E1434" s="11" t="s">
        <v>105</v>
      </c>
      <c r="F1434" s="11" t="str">
        <f t="shared" si="22"/>
        <v>Yes</v>
      </c>
    </row>
    <row r="1435" spans="1:6" x14ac:dyDescent="0.3">
      <c r="A1435" s="9" t="s">
        <v>29</v>
      </c>
      <c r="B1435" s="9" t="s">
        <v>84</v>
      </c>
      <c r="C1435" s="9" t="s">
        <v>85</v>
      </c>
      <c r="D1435" s="9">
        <v>0</v>
      </c>
      <c r="E1435" s="11" t="s">
        <v>105</v>
      </c>
      <c r="F1435" s="11" t="str">
        <f t="shared" si="22"/>
        <v>Yes</v>
      </c>
    </row>
    <row r="1436" spans="1:6" x14ac:dyDescent="0.3">
      <c r="A1436" s="9" t="s">
        <v>29</v>
      </c>
      <c r="B1436" s="9" t="s">
        <v>83</v>
      </c>
      <c r="C1436" s="9" t="s">
        <v>95</v>
      </c>
      <c r="D1436" s="9">
        <v>6</v>
      </c>
      <c r="E1436" s="11" t="s">
        <v>105</v>
      </c>
      <c r="F1436" s="11" t="str">
        <f t="shared" si="22"/>
        <v>Yes</v>
      </c>
    </row>
    <row r="1437" spans="1:6" x14ac:dyDescent="0.3">
      <c r="A1437" s="9" t="s">
        <v>29</v>
      </c>
      <c r="B1437" s="9" t="s">
        <v>39</v>
      </c>
      <c r="C1437" s="9" t="s">
        <v>40</v>
      </c>
      <c r="D1437" s="9">
        <v>16</v>
      </c>
      <c r="E1437" s="11" t="s">
        <v>106</v>
      </c>
      <c r="F1437" s="11" t="str">
        <f t="shared" si="22"/>
        <v>Yes</v>
      </c>
    </row>
    <row r="1438" spans="1:6" x14ac:dyDescent="0.3">
      <c r="A1438" s="9" t="s">
        <v>29</v>
      </c>
      <c r="B1438" s="9" t="s">
        <v>40</v>
      </c>
      <c r="C1438" s="9" t="s">
        <v>40</v>
      </c>
      <c r="D1438" s="9">
        <v>16</v>
      </c>
      <c r="E1438" s="11" t="s">
        <v>107</v>
      </c>
      <c r="F1438" s="11" t="str">
        <f t="shared" si="22"/>
        <v>No</v>
      </c>
    </row>
    <row r="1439" spans="1:6" x14ac:dyDescent="0.3">
      <c r="A1439" s="9" t="s">
        <v>29</v>
      </c>
      <c r="B1439" s="9" t="s">
        <v>41</v>
      </c>
      <c r="C1439" s="9" t="s">
        <v>40</v>
      </c>
      <c r="D1439" s="9">
        <v>0</v>
      </c>
      <c r="E1439" s="11" t="s">
        <v>107</v>
      </c>
      <c r="F1439" s="11" t="str">
        <f t="shared" si="22"/>
        <v>No</v>
      </c>
    </row>
    <row r="1440" spans="1:6" x14ac:dyDescent="0.3">
      <c r="A1440" s="9" t="s">
        <v>29</v>
      </c>
      <c r="B1440" s="9" t="s">
        <v>42</v>
      </c>
      <c r="C1440" s="9" t="s">
        <v>40</v>
      </c>
      <c r="D1440" s="9">
        <v>0</v>
      </c>
      <c r="E1440" s="11" t="s">
        <v>107</v>
      </c>
      <c r="F1440" s="11" t="str">
        <f t="shared" si="22"/>
        <v>No</v>
      </c>
    </row>
    <row r="1441" spans="1:6" x14ac:dyDescent="0.3">
      <c r="A1441" s="9" t="s">
        <v>29</v>
      </c>
      <c r="B1441" s="9" t="s">
        <v>43</v>
      </c>
      <c r="C1441" s="9" t="s">
        <v>40</v>
      </c>
      <c r="D1441" s="9">
        <v>0</v>
      </c>
      <c r="E1441" s="11" t="s">
        <v>106</v>
      </c>
      <c r="F1441" s="11" t="str">
        <f t="shared" si="22"/>
        <v>No</v>
      </c>
    </row>
    <row r="1442" spans="1:6" x14ac:dyDescent="0.3">
      <c r="A1442" s="9" t="s">
        <v>29</v>
      </c>
      <c r="B1442" s="9" t="s">
        <v>44</v>
      </c>
      <c r="C1442" s="9" t="s">
        <v>40</v>
      </c>
      <c r="D1442" s="9">
        <v>0</v>
      </c>
      <c r="E1442" s="11" t="s">
        <v>107</v>
      </c>
      <c r="F1442" s="11" t="str">
        <f t="shared" si="22"/>
        <v>No</v>
      </c>
    </row>
    <row r="1443" spans="1:6" x14ac:dyDescent="0.3">
      <c r="A1443" s="9" t="s">
        <v>29</v>
      </c>
      <c r="B1443" s="9" t="s">
        <v>45</v>
      </c>
      <c r="C1443" s="9" t="s">
        <v>40</v>
      </c>
      <c r="D1443" s="9">
        <v>0</v>
      </c>
      <c r="E1443" s="11" t="s">
        <v>107</v>
      </c>
      <c r="F1443" s="11" t="str">
        <f t="shared" si="22"/>
        <v>No</v>
      </c>
    </row>
    <row r="1444" spans="1:6" x14ac:dyDescent="0.3">
      <c r="A1444" s="9" t="s">
        <v>29</v>
      </c>
      <c r="B1444" s="9" t="s">
        <v>71</v>
      </c>
      <c r="C1444" s="9" t="s">
        <v>40</v>
      </c>
      <c r="D1444" s="9">
        <v>0</v>
      </c>
      <c r="E1444" s="11" t="s">
        <v>105</v>
      </c>
      <c r="F1444" s="11" t="str">
        <f t="shared" si="22"/>
        <v>Yes</v>
      </c>
    </row>
    <row r="1445" spans="1:6" x14ac:dyDescent="0.3">
      <c r="A1445" s="9" t="s">
        <v>29</v>
      </c>
      <c r="B1445" s="9" t="s">
        <v>72</v>
      </c>
      <c r="C1445" s="9" t="s">
        <v>40</v>
      </c>
      <c r="D1445" s="9">
        <v>0</v>
      </c>
      <c r="E1445" s="11" t="s">
        <v>105</v>
      </c>
      <c r="F1445" s="11" t="str">
        <f t="shared" si="22"/>
        <v>Yes</v>
      </c>
    </row>
    <row r="1446" spans="1:6" x14ac:dyDescent="0.3">
      <c r="A1446" s="9" t="s">
        <v>29</v>
      </c>
      <c r="B1446" s="9" t="s">
        <v>82</v>
      </c>
      <c r="C1446" s="9" t="s">
        <v>40</v>
      </c>
      <c r="D1446" s="9">
        <v>0</v>
      </c>
      <c r="E1446" s="11" t="s">
        <v>105</v>
      </c>
      <c r="F1446" s="11" t="str">
        <f t="shared" si="22"/>
        <v>Yes</v>
      </c>
    </row>
    <row r="1447" spans="1:6" x14ac:dyDescent="0.3">
      <c r="A1447" s="9" t="s">
        <v>29</v>
      </c>
      <c r="B1447" s="9" t="s">
        <v>81</v>
      </c>
      <c r="C1447" s="9" t="s">
        <v>81</v>
      </c>
      <c r="D1447" s="9">
        <v>0</v>
      </c>
      <c r="E1447" s="11" t="s">
        <v>105</v>
      </c>
      <c r="F1447" s="11" t="str">
        <f t="shared" si="22"/>
        <v>Yes</v>
      </c>
    </row>
    <row r="1448" spans="1:6" x14ac:dyDescent="0.3">
      <c r="A1448" s="9" t="s">
        <v>29</v>
      </c>
      <c r="B1448" s="9" t="s">
        <v>73</v>
      </c>
      <c r="C1448" s="9" t="s">
        <v>81</v>
      </c>
      <c r="D1448" s="9">
        <v>0</v>
      </c>
      <c r="E1448" s="11" t="s">
        <v>105</v>
      </c>
      <c r="F1448" s="11" t="str">
        <f t="shared" si="22"/>
        <v>Yes</v>
      </c>
    </row>
    <row r="1449" spans="1:6" x14ac:dyDescent="0.3">
      <c r="A1449" s="9" t="s">
        <v>29</v>
      </c>
      <c r="B1449" s="9" t="s">
        <v>80</v>
      </c>
      <c r="C1449" s="9" t="s">
        <v>81</v>
      </c>
      <c r="D1449" s="9">
        <v>0</v>
      </c>
      <c r="E1449" s="11" t="s">
        <v>105</v>
      </c>
      <c r="F1449" s="11" t="str">
        <f t="shared" si="22"/>
        <v>Yes</v>
      </c>
    </row>
    <row r="1450" spans="1:6" x14ac:dyDescent="0.3">
      <c r="A1450" s="9" t="s">
        <v>29</v>
      </c>
      <c r="B1450" s="9" t="s">
        <v>79</v>
      </c>
      <c r="C1450" s="9" t="s">
        <v>96</v>
      </c>
      <c r="D1450" s="9">
        <v>14</v>
      </c>
      <c r="E1450" s="11" t="s">
        <v>106</v>
      </c>
      <c r="F1450" s="11" t="str">
        <f t="shared" si="22"/>
        <v>Yes</v>
      </c>
    </row>
    <row r="1451" spans="1:6" x14ac:dyDescent="0.3">
      <c r="A1451" s="9" t="s">
        <v>29</v>
      </c>
      <c r="B1451" s="9" t="s">
        <v>46</v>
      </c>
      <c r="C1451" s="9" t="s">
        <v>96</v>
      </c>
      <c r="D1451" s="9">
        <v>14</v>
      </c>
      <c r="E1451" s="11" t="s">
        <v>107</v>
      </c>
      <c r="F1451" s="11" t="str">
        <f t="shared" si="22"/>
        <v>No</v>
      </c>
    </row>
    <row r="1452" spans="1:6" x14ac:dyDescent="0.3">
      <c r="A1452" s="9" t="s">
        <v>29</v>
      </c>
      <c r="B1452" s="9" t="s">
        <v>47</v>
      </c>
      <c r="C1452" s="9" t="s">
        <v>96</v>
      </c>
      <c r="D1452" s="9">
        <v>0</v>
      </c>
      <c r="E1452" s="11" t="s">
        <v>107</v>
      </c>
      <c r="F1452" s="11" t="str">
        <f t="shared" si="22"/>
        <v>No</v>
      </c>
    </row>
    <row r="1453" spans="1:6" x14ac:dyDescent="0.3">
      <c r="A1453" s="9" t="s">
        <v>29</v>
      </c>
      <c r="B1453" s="9" t="s">
        <v>48</v>
      </c>
      <c r="C1453" s="9" t="s">
        <v>97</v>
      </c>
      <c r="D1453" s="9">
        <v>0</v>
      </c>
      <c r="E1453" s="11" t="s">
        <v>106</v>
      </c>
      <c r="F1453" s="11" t="str">
        <f t="shared" si="22"/>
        <v>Yes</v>
      </c>
    </row>
    <row r="1454" spans="1:6" x14ac:dyDescent="0.3">
      <c r="A1454" s="9" t="s">
        <v>29</v>
      </c>
      <c r="B1454" s="9" t="s">
        <v>49</v>
      </c>
      <c r="C1454" s="9" t="s">
        <v>97</v>
      </c>
      <c r="D1454" s="9">
        <v>0</v>
      </c>
      <c r="E1454" s="11" t="s">
        <v>107</v>
      </c>
      <c r="F1454" s="11" t="str">
        <f t="shared" si="22"/>
        <v>No</v>
      </c>
    </row>
    <row r="1455" spans="1:6" x14ac:dyDescent="0.3">
      <c r="A1455" s="9" t="s">
        <v>29</v>
      </c>
      <c r="B1455" s="9" t="s">
        <v>50</v>
      </c>
      <c r="C1455" s="9" t="s">
        <v>97</v>
      </c>
      <c r="D1455" s="9">
        <v>0</v>
      </c>
      <c r="E1455" s="11" t="s">
        <v>107</v>
      </c>
      <c r="F1455" s="11" t="str">
        <f t="shared" si="22"/>
        <v>No</v>
      </c>
    </row>
    <row r="1456" spans="1:6" x14ac:dyDescent="0.3">
      <c r="A1456" s="9" t="s">
        <v>29</v>
      </c>
      <c r="B1456" s="9" t="s">
        <v>51</v>
      </c>
      <c r="C1456" s="9" t="s">
        <v>99</v>
      </c>
      <c r="D1456" s="9">
        <v>31</v>
      </c>
      <c r="E1456" s="11" t="s">
        <v>106</v>
      </c>
      <c r="F1456" s="11" t="str">
        <f t="shared" si="22"/>
        <v>Yes</v>
      </c>
    </row>
    <row r="1457" spans="1:6" x14ac:dyDescent="0.3">
      <c r="A1457" s="9" t="s">
        <v>29</v>
      </c>
      <c r="B1457" s="9" t="s">
        <v>52</v>
      </c>
      <c r="C1457" s="9" t="s">
        <v>99</v>
      </c>
      <c r="D1457" s="9">
        <v>31</v>
      </c>
      <c r="E1457" s="11" t="s">
        <v>107</v>
      </c>
      <c r="F1457" s="11" t="str">
        <f t="shared" si="22"/>
        <v>No</v>
      </c>
    </row>
    <row r="1458" spans="1:6" x14ac:dyDescent="0.3">
      <c r="A1458" s="9" t="s">
        <v>29</v>
      </c>
      <c r="B1458" s="9" t="s">
        <v>53</v>
      </c>
      <c r="C1458" s="9" t="s">
        <v>99</v>
      </c>
      <c r="D1458" s="9">
        <v>0</v>
      </c>
      <c r="E1458" s="11" t="s">
        <v>107</v>
      </c>
      <c r="F1458" s="11" t="str">
        <f t="shared" si="22"/>
        <v>No</v>
      </c>
    </row>
    <row r="1459" spans="1:6" x14ac:dyDescent="0.3">
      <c r="A1459" s="9" t="s">
        <v>29</v>
      </c>
      <c r="B1459" s="9" t="s">
        <v>54</v>
      </c>
      <c r="C1459" s="9" t="s">
        <v>98</v>
      </c>
      <c r="D1459" s="9">
        <v>12</v>
      </c>
      <c r="E1459" s="11" t="s">
        <v>106</v>
      </c>
      <c r="F1459" s="11" t="str">
        <f t="shared" si="22"/>
        <v>Yes</v>
      </c>
    </row>
    <row r="1460" spans="1:6" x14ac:dyDescent="0.3">
      <c r="A1460" s="9" t="s">
        <v>29</v>
      </c>
      <c r="B1460" s="9" t="s">
        <v>55</v>
      </c>
      <c r="C1460" s="9" t="s">
        <v>98</v>
      </c>
      <c r="D1460" s="9">
        <v>12</v>
      </c>
      <c r="E1460" s="11" t="s">
        <v>107</v>
      </c>
      <c r="F1460" s="11" t="str">
        <f t="shared" si="22"/>
        <v>No</v>
      </c>
    </row>
    <row r="1461" spans="1:6" x14ac:dyDescent="0.3">
      <c r="A1461" s="9" t="s">
        <v>29</v>
      </c>
      <c r="B1461" s="9" t="s">
        <v>56</v>
      </c>
      <c r="C1461" s="9" t="s">
        <v>98</v>
      </c>
      <c r="D1461" s="9">
        <v>0</v>
      </c>
      <c r="E1461" s="11" t="s">
        <v>107</v>
      </c>
      <c r="F1461" s="11" t="str">
        <f t="shared" si="22"/>
        <v>No</v>
      </c>
    </row>
    <row r="1462" spans="1:6" x14ac:dyDescent="0.3">
      <c r="A1462" s="9" t="s">
        <v>29</v>
      </c>
      <c r="B1462" s="9" t="s">
        <v>74</v>
      </c>
      <c r="C1462" s="9" t="s">
        <v>74</v>
      </c>
      <c r="D1462" s="9">
        <v>0</v>
      </c>
      <c r="E1462" s="11" t="s">
        <v>105</v>
      </c>
      <c r="F1462" s="11" t="str">
        <f t="shared" si="22"/>
        <v>Yes</v>
      </c>
    </row>
    <row r="1463" spans="1:6" x14ac:dyDescent="0.3">
      <c r="A1463" s="9" t="s">
        <v>29</v>
      </c>
      <c r="B1463" s="9" t="s">
        <v>57</v>
      </c>
      <c r="C1463" s="9" t="s">
        <v>100</v>
      </c>
      <c r="D1463" s="9">
        <v>0</v>
      </c>
      <c r="E1463" s="11" t="s">
        <v>106</v>
      </c>
      <c r="F1463" s="11" t="str">
        <f t="shared" si="22"/>
        <v>Yes</v>
      </c>
    </row>
    <row r="1464" spans="1:6" x14ac:dyDescent="0.3">
      <c r="A1464" s="9" t="s">
        <v>29</v>
      </c>
      <c r="B1464" s="9" t="s">
        <v>76</v>
      </c>
      <c r="C1464" s="9" t="s">
        <v>100</v>
      </c>
      <c r="D1464" s="9">
        <v>0</v>
      </c>
      <c r="E1464" s="11" t="s">
        <v>107</v>
      </c>
      <c r="F1464" s="11" t="str">
        <f t="shared" si="22"/>
        <v>No</v>
      </c>
    </row>
    <row r="1465" spans="1:6" x14ac:dyDescent="0.3">
      <c r="A1465" s="9" t="s">
        <v>29</v>
      </c>
      <c r="B1465" s="9" t="s">
        <v>58</v>
      </c>
      <c r="C1465" s="9" t="s">
        <v>100</v>
      </c>
      <c r="D1465" s="9">
        <v>0</v>
      </c>
      <c r="E1465" s="11" t="s">
        <v>107</v>
      </c>
      <c r="F1465" s="11" t="str">
        <f t="shared" si="22"/>
        <v>No</v>
      </c>
    </row>
    <row r="1466" spans="1:6" x14ac:dyDescent="0.3">
      <c r="A1466" s="9" t="s">
        <v>29</v>
      </c>
      <c r="B1466" s="9" t="s">
        <v>59</v>
      </c>
      <c r="C1466" s="9" t="s">
        <v>100</v>
      </c>
      <c r="D1466" s="9">
        <v>0</v>
      </c>
      <c r="E1466" s="11" t="s">
        <v>107</v>
      </c>
      <c r="F1466" s="11" t="str">
        <f t="shared" si="22"/>
        <v>No</v>
      </c>
    </row>
    <row r="1467" spans="1:6" x14ac:dyDescent="0.3">
      <c r="A1467" s="9" t="s">
        <v>29</v>
      </c>
      <c r="B1467" s="9" t="s">
        <v>60</v>
      </c>
      <c r="C1467" s="9" t="s">
        <v>100</v>
      </c>
      <c r="D1467" s="9">
        <v>0</v>
      </c>
      <c r="E1467" s="11" t="s">
        <v>107</v>
      </c>
      <c r="F1467" s="11" t="str">
        <f t="shared" si="22"/>
        <v>No</v>
      </c>
    </row>
    <row r="1468" spans="1:6" x14ac:dyDescent="0.3">
      <c r="A1468" s="9" t="s">
        <v>29</v>
      </c>
      <c r="B1468" s="9" t="s">
        <v>61</v>
      </c>
      <c r="C1468" s="9" t="s">
        <v>100</v>
      </c>
      <c r="D1468" s="9">
        <v>0</v>
      </c>
      <c r="E1468" s="11" t="s">
        <v>107</v>
      </c>
      <c r="F1468" s="11" t="str">
        <f t="shared" si="22"/>
        <v>No</v>
      </c>
    </row>
    <row r="1469" spans="1:6" x14ac:dyDescent="0.3">
      <c r="A1469" s="9" t="s">
        <v>29</v>
      </c>
      <c r="B1469" s="9" t="s">
        <v>78</v>
      </c>
      <c r="C1469" s="9" t="s">
        <v>95</v>
      </c>
      <c r="D1469" s="9">
        <v>0</v>
      </c>
      <c r="E1469" s="11" t="s">
        <v>105</v>
      </c>
      <c r="F1469" s="11" t="str">
        <f t="shared" si="22"/>
        <v>Yes</v>
      </c>
    </row>
    <row r="1470" spans="1:6" x14ac:dyDescent="0.3">
      <c r="A1470" s="9" t="s">
        <v>29</v>
      </c>
      <c r="B1470" s="9" t="s">
        <v>62</v>
      </c>
      <c r="C1470" s="9" t="s">
        <v>101</v>
      </c>
      <c r="D1470" s="9">
        <v>29</v>
      </c>
      <c r="E1470" s="11" t="s">
        <v>106</v>
      </c>
      <c r="F1470" s="11" t="str">
        <f t="shared" si="22"/>
        <v>Yes</v>
      </c>
    </row>
    <row r="1471" spans="1:6" x14ac:dyDescent="0.3">
      <c r="A1471" s="9" t="s">
        <v>29</v>
      </c>
      <c r="B1471" s="9" t="s">
        <v>63</v>
      </c>
      <c r="C1471" s="9" t="s">
        <v>101</v>
      </c>
      <c r="D1471" s="9">
        <v>27</v>
      </c>
      <c r="E1471" s="11" t="s">
        <v>107</v>
      </c>
      <c r="F1471" s="11" t="str">
        <f t="shared" si="22"/>
        <v>No</v>
      </c>
    </row>
    <row r="1472" spans="1:6" x14ac:dyDescent="0.3">
      <c r="A1472" s="9" t="s">
        <v>29</v>
      </c>
      <c r="B1472" s="9" t="s">
        <v>64</v>
      </c>
      <c r="C1472" s="9" t="s">
        <v>101</v>
      </c>
      <c r="D1472" s="9">
        <v>2</v>
      </c>
      <c r="E1472" s="11" t="s">
        <v>107</v>
      </c>
      <c r="F1472" s="11" t="str">
        <f t="shared" si="22"/>
        <v>No</v>
      </c>
    </row>
    <row r="1473" spans="1:6" x14ac:dyDescent="0.3">
      <c r="A1473" s="9" t="s">
        <v>29</v>
      </c>
      <c r="B1473" s="9" t="s">
        <v>77</v>
      </c>
      <c r="C1473" s="9" t="s">
        <v>102</v>
      </c>
      <c r="D1473" s="9">
        <v>95</v>
      </c>
      <c r="E1473" s="11" t="s">
        <v>106</v>
      </c>
      <c r="F1473" s="11" t="str">
        <f t="shared" si="22"/>
        <v>Yes</v>
      </c>
    </row>
    <row r="1474" spans="1:6" x14ac:dyDescent="0.3">
      <c r="A1474" s="9" t="s">
        <v>29</v>
      </c>
      <c r="B1474" s="9" t="s">
        <v>65</v>
      </c>
      <c r="C1474" s="9" t="s">
        <v>102</v>
      </c>
      <c r="D1474" s="9">
        <v>75</v>
      </c>
      <c r="E1474" s="11" t="s">
        <v>107</v>
      </c>
      <c r="F1474" s="11" t="str">
        <f t="shared" ref="F1474:F1537" si="23">IF(E1474="Standalone","Yes",IF(AND(E1474="Total",OR(B1474="Kidnapping &amp; Abduction (Total)",B1474="Rape (Total)",B1474="Attempt to Rape (Total)",B1474="Assault to Outrage Modesty (Total)",B1474="Insult to Modesty (Total)",B1474="Immoral Traffic (Prevention) Act (Total)",B1474="Women-Centric Cyber Crime (Total)",B1474="POCSO (Protection of Children from Sexual Offences Act) (Total)")),"Yes","No"))</f>
        <v>No</v>
      </c>
    </row>
    <row r="1475" spans="1:6" x14ac:dyDescent="0.3">
      <c r="A1475" s="9" t="s">
        <v>29</v>
      </c>
      <c r="B1475" s="9" t="s">
        <v>66</v>
      </c>
      <c r="C1475" s="9" t="s">
        <v>102</v>
      </c>
      <c r="D1475" s="9">
        <v>16</v>
      </c>
      <c r="E1475" s="11" t="s">
        <v>107</v>
      </c>
      <c r="F1475" s="11" t="str">
        <f t="shared" si="23"/>
        <v>No</v>
      </c>
    </row>
    <row r="1476" spans="1:6" x14ac:dyDescent="0.3">
      <c r="A1476" s="9" t="s">
        <v>29</v>
      </c>
      <c r="B1476" s="9" t="s">
        <v>67</v>
      </c>
      <c r="C1476" s="9" t="s">
        <v>102</v>
      </c>
      <c r="D1476" s="9">
        <v>4</v>
      </c>
      <c r="E1476" s="11" t="s">
        <v>107</v>
      </c>
      <c r="F1476" s="11" t="str">
        <f t="shared" si="23"/>
        <v>No</v>
      </c>
    </row>
    <row r="1477" spans="1:6" x14ac:dyDescent="0.3">
      <c r="A1477" s="9" t="s">
        <v>29</v>
      </c>
      <c r="B1477" s="9" t="s">
        <v>68</v>
      </c>
      <c r="C1477" s="9" t="s">
        <v>102</v>
      </c>
      <c r="D1477" s="9">
        <v>0</v>
      </c>
      <c r="E1477" s="11" t="s">
        <v>107</v>
      </c>
      <c r="F1477" s="11" t="str">
        <f t="shared" si="23"/>
        <v>No</v>
      </c>
    </row>
    <row r="1478" spans="1:6" x14ac:dyDescent="0.3">
      <c r="A1478" s="9" t="s">
        <v>29</v>
      </c>
      <c r="B1478" s="9" t="s">
        <v>69</v>
      </c>
      <c r="C1478" s="9" t="s">
        <v>102</v>
      </c>
      <c r="D1478" s="9">
        <v>0</v>
      </c>
      <c r="E1478" s="11" t="s">
        <v>107</v>
      </c>
      <c r="F1478" s="11" t="str">
        <f t="shared" si="23"/>
        <v>No</v>
      </c>
    </row>
    <row r="1479" spans="1:6" x14ac:dyDescent="0.3">
      <c r="A1479" s="9" t="s">
        <v>29</v>
      </c>
      <c r="B1479" s="9" t="s">
        <v>70</v>
      </c>
      <c r="C1479" s="9" t="s">
        <v>102</v>
      </c>
      <c r="D1479" s="9">
        <v>0</v>
      </c>
      <c r="E1479" s="11" t="s">
        <v>107</v>
      </c>
      <c r="F1479" s="11" t="str">
        <f t="shared" si="23"/>
        <v>No</v>
      </c>
    </row>
    <row r="1480" spans="1:6" x14ac:dyDescent="0.3">
      <c r="A1480" s="9" t="s">
        <v>29</v>
      </c>
      <c r="B1480" s="9" t="s">
        <v>75</v>
      </c>
      <c r="C1480" s="9" t="s">
        <v>103</v>
      </c>
      <c r="D1480" s="9">
        <v>0</v>
      </c>
      <c r="E1480" s="11" t="s">
        <v>105</v>
      </c>
      <c r="F1480" s="11" t="str">
        <f t="shared" si="23"/>
        <v>Yes</v>
      </c>
    </row>
    <row r="1481" spans="1:6" x14ac:dyDescent="0.3">
      <c r="A1481" s="9" t="s">
        <v>30</v>
      </c>
      <c r="B1481" s="9" t="s">
        <v>88</v>
      </c>
      <c r="C1481" s="9" t="s">
        <v>92</v>
      </c>
      <c r="D1481" s="9">
        <v>0</v>
      </c>
      <c r="E1481" s="11" t="s">
        <v>105</v>
      </c>
      <c r="F1481" s="11" t="str">
        <f t="shared" si="23"/>
        <v>Yes</v>
      </c>
    </row>
    <row r="1482" spans="1:6" x14ac:dyDescent="0.3">
      <c r="A1482" s="9" t="s">
        <v>30</v>
      </c>
      <c r="B1482" s="9" t="s">
        <v>38</v>
      </c>
      <c r="C1482" s="9" t="s">
        <v>93</v>
      </c>
      <c r="D1482" s="9">
        <v>4</v>
      </c>
      <c r="E1482" s="11" t="s">
        <v>105</v>
      </c>
      <c r="F1482" s="11" t="str">
        <f t="shared" si="23"/>
        <v>Yes</v>
      </c>
    </row>
    <row r="1483" spans="1:6" x14ac:dyDescent="0.3">
      <c r="A1483" s="9" t="s">
        <v>30</v>
      </c>
      <c r="B1483" s="9" t="s">
        <v>87</v>
      </c>
      <c r="C1483" s="9" t="s">
        <v>94</v>
      </c>
      <c r="D1483" s="9">
        <v>5</v>
      </c>
      <c r="E1483" s="11" t="s">
        <v>105</v>
      </c>
      <c r="F1483" s="11" t="str">
        <f t="shared" si="23"/>
        <v>Yes</v>
      </c>
    </row>
    <row r="1484" spans="1:6" x14ac:dyDescent="0.3">
      <c r="A1484" s="9" t="s">
        <v>30</v>
      </c>
      <c r="B1484" s="9" t="s">
        <v>86</v>
      </c>
      <c r="C1484" s="9" t="s">
        <v>86</v>
      </c>
      <c r="D1484" s="9">
        <v>0</v>
      </c>
      <c r="E1484" s="11" t="s">
        <v>105</v>
      </c>
      <c r="F1484" s="11" t="str">
        <f t="shared" si="23"/>
        <v>Yes</v>
      </c>
    </row>
    <row r="1485" spans="1:6" x14ac:dyDescent="0.3">
      <c r="A1485" s="9" t="s">
        <v>30</v>
      </c>
      <c r="B1485" s="9" t="s">
        <v>85</v>
      </c>
      <c r="C1485" s="9" t="s">
        <v>85</v>
      </c>
      <c r="D1485" s="9">
        <v>0</v>
      </c>
      <c r="E1485" s="11" t="s">
        <v>105</v>
      </c>
      <c r="F1485" s="11" t="str">
        <f t="shared" si="23"/>
        <v>Yes</v>
      </c>
    </row>
    <row r="1486" spans="1:6" x14ac:dyDescent="0.3">
      <c r="A1486" s="9" t="s">
        <v>30</v>
      </c>
      <c r="B1486" s="9" t="s">
        <v>84</v>
      </c>
      <c r="C1486" s="9" t="s">
        <v>85</v>
      </c>
      <c r="D1486" s="9">
        <v>0</v>
      </c>
      <c r="E1486" s="11" t="s">
        <v>105</v>
      </c>
      <c r="F1486" s="11" t="str">
        <f t="shared" si="23"/>
        <v>Yes</v>
      </c>
    </row>
    <row r="1487" spans="1:6" x14ac:dyDescent="0.3">
      <c r="A1487" s="9" t="s">
        <v>30</v>
      </c>
      <c r="B1487" s="9" t="s">
        <v>83</v>
      </c>
      <c r="C1487" s="9" t="s">
        <v>95</v>
      </c>
      <c r="D1487" s="9">
        <v>76</v>
      </c>
      <c r="E1487" s="11" t="s">
        <v>105</v>
      </c>
      <c r="F1487" s="11" t="str">
        <f t="shared" si="23"/>
        <v>Yes</v>
      </c>
    </row>
    <row r="1488" spans="1:6" x14ac:dyDescent="0.3">
      <c r="A1488" s="9" t="s">
        <v>30</v>
      </c>
      <c r="B1488" s="9" t="s">
        <v>39</v>
      </c>
      <c r="C1488" s="9" t="s">
        <v>40</v>
      </c>
      <c r="D1488" s="9">
        <v>131</v>
      </c>
      <c r="E1488" s="11" t="s">
        <v>106</v>
      </c>
      <c r="F1488" s="11" t="str">
        <f t="shared" si="23"/>
        <v>Yes</v>
      </c>
    </row>
    <row r="1489" spans="1:6" x14ac:dyDescent="0.3">
      <c r="A1489" s="9" t="s">
        <v>30</v>
      </c>
      <c r="B1489" s="9" t="s">
        <v>40</v>
      </c>
      <c r="C1489" s="9" t="s">
        <v>40</v>
      </c>
      <c r="D1489" s="9">
        <v>119</v>
      </c>
      <c r="E1489" s="11" t="s">
        <v>107</v>
      </c>
      <c r="F1489" s="11" t="str">
        <f t="shared" si="23"/>
        <v>No</v>
      </c>
    </row>
    <row r="1490" spans="1:6" x14ac:dyDescent="0.3">
      <c r="A1490" s="9" t="s">
        <v>30</v>
      </c>
      <c r="B1490" s="9" t="s">
        <v>41</v>
      </c>
      <c r="C1490" s="9" t="s">
        <v>40</v>
      </c>
      <c r="D1490" s="9">
        <v>0</v>
      </c>
      <c r="E1490" s="11" t="s">
        <v>107</v>
      </c>
      <c r="F1490" s="11" t="str">
        <f t="shared" si="23"/>
        <v>No</v>
      </c>
    </row>
    <row r="1491" spans="1:6" x14ac:dyDescent="0.3">
      <c r="A1491" s="9" t="s">
        <v>30</v>
      </c>
      <c r="B1491" s="9" t="s">
        <v>42</v>
      </c>
      <c r="C1491" s="9" t="s">
        <v>40</v>
      </c>
      <c r="D1491" s="9">
        <v>0</v>
      </c>
      <c r="E1491" s="11" t="s">
        <v>107</v>
      </c>
      <c r="F1491" s="11" t="str">
        <f t="shared" si="23"/>
        <v>No</v>
      </c>
    </row>
    <row r="1492" spans="1:6" x14ac:dyDescent="0.3">
      <c r="A1492" s="9" t="s">
        <v>30</v>
      </c>
      <c r="B1492" s="9" t="s">
        <v>43</v>
      </c>
      <c r="C1492" s="9" t="s">
        <v>40</v>
      </c>
      <c r="D1492" s="9">
        <v>9</v>
      </c>
      <c r="E1492" s="11" t="s">
        <v>106</v>
      </c>
      <c r="F1492" s="11" t="str">
        <f t="shared" si="23"/>
        <v>No</v>
      </c>
    </row>
    <row r="1493" spans="1:6" x14ac:dyDescent="0.3">
      <c r="A1493" s="9" t="s">
        <v>30</v>
      </c>
      <c r="B1493" s="9" t="s">
        <v>44</v>
      </c>
      <c r="C1493" s="9" t="s">
        <v>40</v>
      </c>
      <c r="D1493" s="9">
        <v>0</v>
      </c>
      <c r="E1493" s="11" t="s">
        <v>107</v>
      </c>
      <c r="F1493" s="11" t="str">
        <f t="shared" si="23"/>
        <v>No</v>
      </c>
    </row>
    <row r="1494" spans="1:6" x14ac:dyDescent="0.3">
      <c r="A1494" s="9" t="s">
        <v>30</v>
      </c>
      <c r="B1494" s="9" t="s">
        <v>45</v>
      </c>
      <c r="C1494" s="9" t="s">
        <v>40</v>
      </c>
      <c r="D1494" s="9">
        <v>9</v>
      </c>
      <c r="E1494" s="11" t="s">
        <v>107</v>
      </c>
      <c r="F1494" s="11" t="str">
        <f t="shared" si="23"/>
        <v>No</v>
      </c>
    </row>
    <row r="1495" spans="1:6" x14ac:dyDescent="0.3">
      <c r="A1495" s="9" t="s">
        <v>30</v>
      </c>
      <c r="B1495" s="9" t="s">
        <v>71</v>
      </c>
      <c r="C1495" s="9" t="s">
        <v>40</v>
      </c>
      <c r="D1495" s="9">
        <v>0</v>
      </c>
      <c r="E1495" s="11" t="s">
        <v>105</v>
      </c>
      <c r="F1495" s="11" t="str">
        <f t="shared" si="23"/>
        <v>Yes</v>
      </c>
    </row>
    <row r="1496" spans="1:6" x14ac:dyDescent="0.3">
      <c r="A1496" s="9" t="s">
        <v>30</v>
      </c>
      <c r="B1496" s="9" t="s">
        <v>72</v>
      </c>
      <c r="C1496" s="9" t="s">
        <v>40</v>
      </c>
      <c r="D1496" s="9">
        <v>0</v>
      </c>
      <c r="E1496" s="11" t="s">
        <v>105</v>
      </c>
      <c r="F1496" s="11" t="str">
        <f t="shared" si="23"/>
        <v>Yes</v>
      </c>
    </row>
    <row r="1497" spans="1:6" x14ac:dyDescent="0.3">
      <c r="A1497" s="9" t="s">
        <v>30</v>
      </c>
      <c r="B1497" s="9" t="s">
        <v>82</v>
      </c>
      <c r="C1497" s="9" t="s">
        <v>40</v>
      </c>
      <c r="D1497" s="9">
        <v>3</v>
      </c>
      <c r="E1497" s="11" t="s">
        <v>105</v>
      </c>
      <c r="F1497" s="11" t="str">
        <f t="shared" si="23"/>
        <v>Yes</v>
      </c>
    </row>
    <row r="1498" spans="1:6" x14ac:dyDescent="0.3">
      <c r="A1498" s="9" t="s">
        <v>30</v>
      </c>
      <c r="B1498" s="9" t="s">
        <v>81</v>
      </c>
      <c r="C1498" s="9" t="s">
        <v>81</v>
      </c>
      <c r="D1498" s="9">
        <v>2</v>
      </c>
      <c r="E1498" s="11" t="s">
        <v>105</v>
      </c>
      <c r="F1498" s="11" t="str">
        <f t="shared" si="23"/>
        <v>Yes</v>
      </c>
    </row>
    <row r="1499" spans="1:6" x14ac:dyDescent="0.3">
      <c r="A1499" s="9" t="s">
        <v>30</v>
      </c>
      <c r="B1499" s="9" t="s">
        <v>73</v>
      </c>
      <c r="C1499" s="9" t="s">
        <v>81</v>
      </c>
      <c r="D1499" s="9">
        <v>0</v>
      </c>
      <c r="E1499" s="11" t="s">
        <v>105</v>
      </c>
      <c r="F1499" s="11" t="str">
        <f t="shared" si="23"/>
        <v>Yes</v>
      </c>
    </row>
    <row r="1500" spans="1:6" x14ac:dyDescent="0.3">
      <c r="A1500" s="9" t="s">
        <v>30</v>
      </c>
      <c r="B1500" s="9" t="s">
        <v>80</v>
      </c>
      <c r="C1500" s="9" t="s">
        <v>81</v>
      </c>
      <c r="D1500" s="9">
        <v>0</v>
      </c>
      <c r="E1500" s="11" t="s">
        <v>105</v>
      </c>
      <c r="F1500" s="11" t="str">
        <f t="shared" si="23"/>
        <v>Yes</v>
      </c>
    </row>
    <row r="1501" spans="1:6" x14ac:dyDescent="0.3">
      <c r="A1501" s="9" t="s">
        <v>30</v>
      </c>
      <c r="B1501" s="9" t="s">
        <v>79</v>
      </c>
      <c r="C1501" s="9" t="s">
        <v>96</v>
      </c>
      <c r="D1501" s="9">
        <v>102</v>
      </c>
      <c r="E1501" s="11" t="s">
        <v>106</v>
      </c>
      <c r="F1501" s="11" t="str">
        <f t="shared" si="23"/>
        <v>Yes</v>
      </c>
    </row>
    <row r="1502" spans="1:6" x14ac:dyDescent="0.3">
      <c r="A1502" s="9" t="s">
        <v>30</v>
      </c>
      <c r="B1502" s="9" t="s">
        <v>46</v>
      </c>
      <c r="C1502" s="9" t="s">
        <v>96</v>
      </c>
      <c r="D1502" s="9">
        <v>32</v>
      </c>
      <c r="E1502" s="11" t="s">
        <v>107</v>
      </c>
      <c r="F1502" s="11" t="str">
        <f t="shared" si="23"/>
        <v>No</v>
      </c>
    </row>
    <row r="1503" spans="1:6" x14ac:dyDescent="0.3">
      <c r="A1503" s="9" t="s">
        <v>30</v>
      </c>
      <c r="B1503" s="9" t="s">
        <v>47</v>
      </c>
      <c r="C1503" s="9" t="s">
        <v>96</v>
      </c>
      <c r="D1503" s="9">
        <v>70</v>
      </c>
      <c r="E1503" s="11" t="s">
        <v>107</v>
      </c>
      <c r="F1503" s="11" t="str">
        <f t="shared" si="23"/>
        <v>No</v>
      </c>
    </row>
    <row r="1504" spans="1:6" x14ac:dyDescent="0.3">
      <c r="A1504" s="9" t="s">
        <v>30</v>
      </c>
      <c r="B1504" s="9" t="s">
        <v>48</v>
      </c>
      <c r="C1504" s="9" t="s">
        <v>97</v>
      </c>
      <c r="D1504" s="9">
        <v>1</v>
      </c>
      <c r="E1504" s="11" t="s">
        <v>106</v>
      </c>
      <c r="F1504" s="11" t="str">
        <f t="shared" si="23"/>
        <v>Yes</v>
      </c>
    </row>
    <row r="1505" spans="1:6" x14ac:dyDescent="0.3">
      <c r="A1505" s="9" t="s">
        <v>30</v>
      </c>
      <c r="B1505" s="9" t="s">
        <v>49</v>
      </c>
      <c r="C1505" s="9" t="s">
        <v>97</v>
      </c>
      <c r="D1505" s="9">
        <v>0</v>
      </c>
      <c r="E1505" s="11" t="s">
        <v>107</v>
      </c>
      <c r="F1505" s="11" t="str">
        <f t="shared" si="23"/>
        <v>No</v>
      </c>
    </row>
    <row r="1506" spans="1:6" x14ac:dyDescent="0.3">
      <c r="A1506" s="9" t="s">
        <v>30</v>
      </c>
      <c r="B1506" s="9" t="s">
        <v>50</v>
      </c>
      <c r="C1506" s="9" t="s">
        <v>97</v>
      </c>
      <c r="D1506" s="9">
        <v>1</v>
      </c>
      <c r="E1506" s="11" t="s">
        <v>107</v>
      </c>
      <c r="F1506" s="11" t="str">
        <f t="shared" si="23"/>
        <v>No</v>
      </c>
    </row>
    <row r="1507" spans="1:6" x14ac:dyDescent="0.3">
      <c r="A1507" s="9" t="s">
        <v>30</v>
      </c>
      <c r="B1507" s="9" t="s">
        <v>51</v>
      </c>
      <c r="C1507" s="9" t="s">
        <v>99</v>
      </c>
      <c r="D1507" s="9">
        <v>40</v>
      </c>
      <c r="E1507" s="11" t="s">
        <v>106</v>
      </c>
      <c r="F1507" s="11" t="str">
        <f t="shared" si="23"/>
        <v>Yes</v>
      </c>
    </row>
    <row r="1508" spans="1:6" x14ac:dyDescent="0.3">
      <c r="A1508" s="9" t="s">
        <v>30</v>
      </c>
      <c r="B1508" s="9" t="s">
        <v>52</v>
      </c>
      <c r="C1508" s="9" t="s">
        <v>99</v>
      </c>
      <c r="D1508" s="9">
        <v>27</v>
      </c>
      <c r="E1508" s="11" t="s">
        <v>107</v>
      </c>
      <c r="F1508" s="11" t="str">
        <f t="shared" si="23"/>
        <v>No</v>
      </c>
    </row>
    <row r="1509" spans="1:6" x14ac:dyDescent="0.3">
      <c r="A1509" s="9" t="s">
        <v>30</v>
      </c>
      <c r="B1509" s="9" t="s">
        <v>53</v>
      </c>
      <c r="C1509" s="9" t="s">
        <v>99</v>
      </c>
      <c r="D1509" s="9">
        <v>13</v>
      </c>
      <c r="E1509" s="11" t="s">
        <v>107</v>
      </c>
      <c r="F1509" s="11" t="str">
        <f t="shared" si="23"/>
        <v>No</v>
      </c>
    </row>
    <row r="1510" spans="1:6" x14ac:dyDescent="0.3">
      <c r="A1510" s="9" t="s">
        <v>30</v>
      </c>
      <c r="B1510" s="9" t="s">
        <v>54</v>
      </c>
      <c r="C1510" s="9" t="s">
        <v>98</v>
      </c>
      <c r="D1510" s="9">
        <v>5</v>
      </c>
      <c r="E1510" s="11" t="s">
        <v>106</v>
      </c>
      <c r="F1510" s="11" t="str">
        <f t="shared" si="23"/>
        <v>Yes</v>
      </c>
    </row>
    <row r="1511" spans="1:6" x14ac:dyDescent="0.3">
      <c r="A1511" s="9" t="s">
        <v>30</v>
      </c>
      <c r="B1511" s="9" t="s">
        <v>55</v>
      </c>
      <c r="C1511" s="9" t="s">
        <v>98</v>
      </c>
      <c r="D1511" s="9">
        <v>5</v>
      </c>
      <c r="E1511" s="11" t="s">
        <v>107</v>
      </c>
      <c r="F1511" s="11" t="str">
        <f t="shared" si="23"/>
        <v>No</v>
      </c>
    </row>
    <row r="1512" spans="1:6" x14ac:dyDescent="0.3">
      <c r="A1512" s="9" t="s">
        <v>30</v>
      </c>
      <c r="B1512" s="9" t="s">
        <v>56</v>
      </c>
      <c r="C1512" s="9" t="s">
        <v>98</v>
      </c>
      <c r="D1512" s="9">
        <v>0</v>
      </c>
      <c r="E1512" s="11" t="s">
        <v>107</v>
      </c>
      <c r="F1512" s="11" t="str">
        <f t="shared" si="23"/>
        <v>No</v>
      </c>
    </row>
    <row r="1513" spans="1:6" x14ac:dyDescent="0.3">
      <c r="A1513" s="9" t="s">
        <v>30</v>
      </c>
      <c r="B1513" s="9" t="s">
        <v>74</v>
      </c>
      <c r="C1513" s="9" t="s">
        <v>74</v>
      </c>
      <c r="D1513" s="9">
        <v>0</v>
      </c>
      <c r="E1513" s="11" t="s">
        <v>105</v>
      </c>
      <c r="F1513" s="11" t="str">
        <f t="shared" si="23"/>
        <v>Yes</v>
      </c>
    </row>
    <row r="1514" spans="1:6" x14ac:dyDescent="0.3">
      <c r="A1514" s="9" t="s">
        <v>30</v>
      </c>
      <c r="B1514" s="9" t="s">
        <v>57</v>
      </c>
      <c r="C1514" s="9" t="s">
        <v>100</v>
      </c>
      <c r="D1514" s="9">
        <v>0</v>
      </c>
      <c r="E1514" s="11" t="s">
        <v>106</v>
      </c>
      <c r="F1514" s="11" t="str">
        <f t="shared" si="23"/>
        <v>Yes</v>
      </c>
    </row>
    <row r="1515" spans="1:6" x14ac:dyDescent="0.3">
      <c r="A1515" s="9" t="s">
        <v>30</v>
      </c>
      <c r="B1515" s="9" t="s">
        <v>76</v>
      </c>
      <c r="C1515" s="9" t="s">
        <v>100</v>
      </c>
      <c r="D1515" s="9">
        <v>0</v>
      </c>
      <c r="E1515" s="11" t="s">
        <v>107</v>
      </c>
      <c r="F1515" s="11" t="str">
        <f t="shared" si="23"/>
        <v>No</v>
      </c>
    </row>
    <row r="1516" spans="1:6" x14ac:dyDescent="0.3">
      <c r="A1516" s="9" t="s">
        <v>30</v>
      </c>
      <c r="B1516" s="9" t="s">
        <v>58</v>
      </c>
      <c r="C1516" s="9" t="s">
        <v>100</v>
      </c>
      <c r="D1516" s="9">
        <v>0</v>
      </c>
      <c r="E1516" s="11" t="s">
        <v>107</v>
      </c>
      <c r="F1516" s="11" t="str">
        <f t="shared" si="23"/>
        <v>No</v>
      </c>
    </row>
    <row r="1517" spans="1:6" x14ac:dyDescent="0.3">
      <c r="A1517" s="9" t="s">
        <v>30</v>
      </c>
      <c r="B1517" s="9" t="s">
        <v>59</v>
      </c>
      <c r="C1517" s="9" t="s">
        <v>100</v>
      </c>
      <c r="D1517" s="9">
        <v>0</v>
      </c>
      <c r="E1517" s="11" t="s">
        <v>107</v>
      </c>
      <c r="F1517" s="11" t="str">
        <f t="shared" si="23"/>
        <v>No</v>
      </c>
    </row>
    <row r="1518" spans="1:6" x14ac:dyDescent="0.3">
      <c r="A1518" s="9" t="s">
        <v>30</v>
      </c>
      <c r="B1518" s="9" t="s">
        <v>60</v>
      </c>
      <c r="C1518" s="9" t="s">
        <v>100</v>
      </c>
      <c r="D1518" s="9">
        <v>0</v>
      </c>
      <c r="E1518" s="11" t="s">
        <v>107</v>
      </c>
      <c r="F1518" s="11" t="str">
        <f t="shared" si="23"/>
        <v>No</v>
      </c>
    </row>
    <row r="1519" spans="1:6" x14ac:dyDescent="0.3">
      <c r="A1519" s="9" t="s">
        <v>30</v>
      </c>
      <c r="B1519" s="9" t="s">
        <v>61</v>
      </c>
      <c r="C1519" s="9" t="s">
        <v>100</v>
      </c>
      <c r="D1519" s="9">
        <v>0</v>
      </c>
      <c r="E1519" s="11" t="s">
        <v>107</v>
      </c>
      <c r="F1519" s="11" t="str">
        <f t="shared" si="23"/>
        <v>No</v>
      </c>
    </row>
    <row r="1520" spans="1:6" x14ac:dyDescent="0.3">
      <c r="A1520" s="9" t="s">
        <v>30</v>
      </c>
      <c r="B1520" s="9" t="s">
        <v>78</v>
      </c>
      <c r="C1520" s="9" t="s">
        <v>95</v>
      </c>
      <c r="D1520" s="9">
        <v>0</v>
      </c>
      <c r="E1520" s="11" t="s">
        <v>105</v>
      </c>
      <c r="F1520" s="11" t="str">
        <f t="shared" si="23"/>
        <v>Yes</v>
      </c>
    </row>
    <row r="1521" spans="1:6" x14ac:dyDescent="0.3">
      <c r="A1521" s="9" t="s">
        <v>30</v>
      </c>
      <c r="B1521" s="9" t="s">
        <v>62</v>
      </c>
      <c r="C1521" s="9" t="s">
        <v>101</v>
      </c>
      <c r="D1521" s="9">
        <v>5</v>
      </c>
      <c r="E1521" s="11" t="s">
        <v>106</v>
      </c>
      <c r="F1521" s="11" t="str">
        <f t="shared" si="23"/>
        <v>Yes</v>
      </c>
    </row>
    <row r="1522" spans="1:6" x14ac:dyDescent="0.3">
      <c r="A1522" s="9" t="s">
        <v>30</v>
      </c>
      <c r="B1522" s="9" t="s">
        <v>63</v>
      </c>
      <c r="C1522" s="9" t="s">
        <v>101</v>
      </c>
      <c r="D1522" s="9">
        <v>5</v>
      </c>
      <c r="E1522" s="11" t="s">
        <v>107</v>
      </c>
      <c r="F1522" s="11" t="str">
        <f t="shared" si="23"/>
        <v>No</v>
      </c>
    </row>
    <row r="1523" spans="1:6" x14ac:dyDescent="0.3">
      <c r="A1523" s="9" t="s">
        <v>30</v>
      </c>
      <c r="B1523" s="9" t="s">
        <v>64</v>
      </c>
      <c r="C1523" s="9" t="s">
        <v>101</v>
      </c>
      <c r="D1523" s="9">
        <v>0</v>
      </c>
      <c r="E1523" s="11" t="s">
        <v>107</v>
      </c>
      <c r="F1523" s="11" t="str">
        <f t="shared" si="23"/>
        <v>No</v>
      </c>
    </row>
    <row r="1524" spans="1:6" x14ac:dyDescent="0.3">
      <c r="A1524" s="9" t="s">
        <v>30</v>
      </c>
      <c r="B1524" s="9" t="s">
        <v>77</v>
      </c>
      <c r="C1524" s="9" t="s">
        <v>102</v>
      </c>
      <c r="D1524" s="9">
        <v>0</v>
      </c>
      <c r="E1524" s="11" t="s">
        <v>106</v>
      </c>
      <c r="F1524" s="11" t="str">
        <f t="shared" si="23"/>
        <v>Yes</v>
      </c>
    </row>
    <row r="1525" spans="1:6" x14ac:dyDescent="0.3">
      <c r="A1525" s="9" t="s">
        <v>30</v>
      </c>
      <c r="B1525" s="9" t="s">
        <v>65</v>
      </c>
      <c r="C1525" s="9" t="s">
        <v>102</v>
      </c>
      <c r="D1525" s="9">
        <v>0</v>
      </c>
      <c r="E1525" s="11" t="s">
        <v>107</v>
      </c>
      <c r="F1525" s="11" t="str">
        <f t="shared" si="23"/>
        <v>No</v>
      </c>
    </row>
    <row r="1526" spans="1:6" x14ac:dyDescent="0.3">
      <c r="A1526" s="9" t="s">
        <v>30</v>
      </c>
      <c r="B1526" s="9" t="s">
        <v>66</v>
      </c>
      <c r="C1526" s="9" t="s">
        <v>102</v>
      </c>
      <c r="D1526" s="9">
        <v>0</v>
      </c>
      <c r="E1526" s="11" t="s">
        <v>107</v>
      </c>
      <c r="F1526" s="11" t="str">
        <f t="shared" si="23"/>
        <v>No</v>
      </c>
    </row>
    <row r="1527" spans="1:6" x14ac:dyDescent="0.3">
      <c r="A1527" s="9" t="s">
        <v>30</v>
      </c>
      <c r="B1527" s="9" t="s">
        <v>67</v>
      </c>
      <c r="C1527" s="9" t="s">
        <v>102</v>
      </c>
      <c r="D1527" s="9">
        <v>0</v>
      </c>
      <c r="E1527" s="11" t="s">
        <v>107</v>
      </c>
      <c r="F1527" s="11" t="str">
        <f t="shared" si="23"/>
        <v>No</v>
      </c>
    </row>
    <row r="1528" spans="1:6" x14ac:dyDescent="0.3">
      <c r="A1528" s="9" t="s">
        <v>30</v>
      </c>
      <c r="B1528" s="9" t="s">
        <v>68</v>
      </c>
      <c r="C1528" s="9" t="s">
        <v>102</v>
      </c>
      <c r="D1528" s="9">
        <v>0</v>
      </c>
      <c r="E1528" s="11" t="s">
        <v>107</v>
      </c>
      <c r="F1528" s="11" t="str">
        <f t="shared" si="23"/>
        <v>No</v>
      </c>
    </row>
    <row r="1529" spans="1:6" x14ac:dyDescent="0.3">
      <c r="A1529" s="9" t="s">
        <v>30</v>
      </c>
      <c r="B1529" s="9" t="s">
        <v>69</v>
      </c>
      <c r="C1529" s="9" t="s">
        <v>102</v>
      </c>
      <c r="D1529" s="9">
        <v>0</v>
      </c>
      <c r="E1529" s="11" t="s">
        <v>107</v>
      </c>
      <c r="F1529" s="11" t="str">
        <f t="shared" si="23"/>
        <v>No</v>
      </c>
    </row>
    <row r="1530" spans="1:6" x14ac:dyDescent="0.3">
      <c r="A1530" s="9" t="s">
        <v>30</v>
      </c>
      <c r="B1530" s="9" t="s">
        <v>70</v>
      </c>
      <c r="C1530" s="9" t="s">
        <v>102</v>
      </c>
      <c r="D1530" s="9">
        <v>0</v>
      </c>
      <c r="E1530" s="11" t="s">
        <v>107</v>
      </c>
      <c r="F1530" s="11" t="str">
        <f t="shared" si="23"/>
        <v>No</v>
      </c>
    </row>
    <row r="1531" spans="1:6" x14ac:dyDescent="0.3">
      <c r="A1531" s="9" t="s">
        <v>30</v>
      </c>
      <c r="B1531" s="9" t="s">
        <v>75</v>
      </c>
      <c r="C1531" s="9" t="s">
        <v>103</v>
      </c>
      <c r="D1531" s="9">
        <v>0</v>
      </c>
      <c r="E1531" s="11" t="s">
        <v>105</v>
      </c>
      <c r="F1531" s="11" t="str">
        <f t="shared" si="23"/>
        <v>Yes</v>
      </c>
    </row>
    <row r="1532" spans="1:6" x14ac:dyDescent="0.3">
      <c r="A1532" s="9" t="s">
        <v>31</v>
      </c>
      <c r="B1532" s="9" t="s">
        <v>88</v>
      </c>
      <c r="C1532" s="9" t="s">
        <v>92</v>
      </c>
      <c r="D1532" s="9">
        <v>0</v>
      </c>
      <c r="E1532" s="11" t="s">
        <v>105</v>
      </c>
      <c r="F1532" s="11" t="str">
        <f t="shared" si="23"/>
        <v>Yes</v>
      </c>
    </row>
    <row r="1533" spans="1:6" x14ac:dyDescent="0.3">
      <c r="A1533" s="9" t="s">
        <v>31</v>
      </c>
      <c r="B1533" s="9" t="s">
        <v>38</v>
      </c>
      <c r="C1533" s="9" t="s">
        <v>93</v>
      </c>
      <c r="D1533" s="9">
        <v>0</v>
      </c>
      <c r="E1533" s="11" t="s">
        <v>105</v>
      </c>
      <c r="F1533" s="11" t="str">
        <f t="shared" si="23"/>
        <v>Yes</v>
      </c>
    </row>
    <row r="1534" spans="1:6" x14ac:dyDescent="0.3">
      <c r="A1534" s="9" t="s">
        <v>31</v>
      </c>
      <c r="B1534" s="9" t="s">
        <v>87</v>
      </c>
      <c r="C1534" s="9" t="s">
        <v>94</v>
      </c>
      <c r="D1534" s="9">
        <v>1</v>
      </c>
      <c r="E1534" s="11" t="s">
        <v>105</v>
      </c>
      <c r="F1534" s="11" t="str">
        <f t="shared" si="23"/>
        <v>Yes</v>
      </c>
    </row>
    <row r="1535" spans="1:6" x14ac:dyDescent="0.3">
      <c r="A1535" s="9" t="s">
        <v>31</v>
      </c>
      <c r="B1535" s="9" t="s">
        <v>86</v>
      </c>
      <c r="C1535" s="9" t="s">
        <v>86</v>
      </c>
      <c r="D1535" s="9">
        <v>0</v>
      </c>
      <c r="E1535" s="11" t="s">
        <v>105</v>
      </c>
      <c r="F1535" s="11" t="str">
        <f t="shared" si="23"/>
        <v>Yes</v>
      </c>
    </row>
    <row r="1536" spans="1:6" x14ac:dyDescent="0.3">
      <c r="A1536" s="9" t="s">
        <v>31</v>
      </c>
      <c r="B1536" s="9" t="s">
        <v>85</v>
      </c>
      <c r="C1536" s="9" t="s">
        <v>85</v>
      </c>
      <c r="D1536" s="9">
        <v>0</v>
      </c>
      <c r="E1536" s="11" t="s">
        <v>105</v>
      </c>
      <c r="F1536" s="11" t="str">
        <f t="shared" si="23"/>
        <v>Yes</v>
      </c>
    </row>
    <row r="1537" spans="1:6" x14ac:dyDescent="0.3">
      <c r="A1537" s="9" t="s">
        <v>31</v>
      </c>
      <c r="B1537" s="9" t="s">
        <v>84</v>
      </c>
      <c r="C1537" s="9" t="s">
        <v>85</v>
      </c>
      <c r="D1537" s="9">
        <v>0</v>
      </c>
      <c r="E1537" s="11" t="s">
        <v>105</v>
      </c>
      <c r="F1537" s="11" t="str">
        <f t="shared" si="23"/>
        <v>Yes</v>
      </c>
    </row>
    <row r="1538" spans="1:6" x14ac:dyDescent="0.3">
      <c r="A1538" s="9" t="s">
        <v>31</v>
      </c>
      <c r="B1538" s="9" t="s">
        <v>83</v>
      </c>
      <c r="C1538" s="9" t="s">
        <v>95</v>
      </c>
      <c r="D1538" s="9">
        <v>2</v>
      </c>
      <c r="E1538" s="11" t="s">
        <v>105</v>
      </c>
      <c r="F1538" s="11" t="str">
        <f t="shared" ref="F1538:F1601" si="24">IF(E1538="Standalone","Yes",IF(AND(E1538="Total",OR(B1538="Kidnapping &amp; Abduction (Total)",B1538="Rape (Total)",B1538="Attempt to Rape (Total)",B1538="Assault to Outrage Modesty (Total)",B1538="Insult to Modesty (Total)",B1538="Immoral Traffic (Prevention) Act (Total)",B1538="Women-Centric Cyber Crime (Total)",B1538="POCSO (Protection of Children from Sexual Offences Act) (Total)")),"Yes","No"))</f>
        <v>Yes</v>
      </c>
    </row>
    <row r="1539" spans="1:6" x14ac:dyDescent="0.3">
      <c r="A1539" s="9" t="s">
        <v>31</v>
      </c>
      <c r="B1539" s="9" t="s">
        <v>39</v>
      </c>
      <c r="C1539" s="9" t="s">
        <v>40</v>
      </c>
      <c r="D1539" s="9">
        <v>35</v>
      </c>
      <c r="E1539" s="11" t="s">
        <v>106</v>
      </c>
      <c r="F1539" s="11" t="str">
        <f t="shared" si="24"/>
        <v>Yes</v>
      </c>
    </row>
    <row r="1540" spans="1:6" x14ac:dyDescent="0.3">
      <c r="A1540" s="9" t="s">
        <v>31</v>
      </c>
      <c r="B1540" s="9" t="s">
        <v>40</v>
      </c>
      <c r="C1540" s="9" t="s">
        <v>40</v>
      </c>
      <c r="D1540" s="9">
        <v>34</v>
      </c>
      <c r="E1540" s="11" t="s">
        <v>107</v>
      </c>
      <c r="F1540" s="11" t="str">
        <f t="shared" si="24"/>
        <v>No</v>
      </c>
    </row>
    <row r="1541" spans="1:6" x14ac:dyDescent="0.3">
      <c r="A1541" s="9" t="s">
        <v>31</v>
      </c>
      <c r="B1541" s="9" t="s">
        <v>41</v>
      </c>
      <c r="C1541" s="9" t="s">
        <v>40</v>
      </c>
      <c r="D1541" s="9">
        <v>0</v>
      </c>
      <c r="E1541" s="11" t="s">
        <v>107</v>
      </c>
      <c r="F1541" s="11" t="str">
        <f t="shared" si="24"/>
        <v>No</v>
      </c>
    </row>
    <row r="1542" spans="1:6" x14ac:dyDescent="0.3">
      <c r="A1542" s="9" t="s">
        <v>31</v>
      </c>
      <c r="B1542" s="9" t="s">
        <v>42</v>
      </c>
      <c r="C1542" s="9" t="s">
        <v>40</v>
      </c>
      <c r="D1542" s="9">
        <v>0</v>
      </c>
      <c r="E1542" s="11" t="s">
        <v>107</v>
      </c>
      <c r="F1542" s="11" t="str">
        <f t="shared" si="24"/>
        <v>No</v>
      </c>
    </row>
    <row r="1543" spans="1:6" x14ac:dyDescent="0.3">
      <c r="A1543" s="9" t="s">
        <v>31</v>
      </c>
      <c r="B1543" s="9" t="s">
        <v>43</v>
      </c>
      <c r="C1543" s="9" t="s">
        <v>40</v>
      </c>
      <c r="D1543" s="9">
        <v>0</v>
      </c>
      <c r="E1543" s="11" t="s">
        <v>106</v>
      </c>
      <c r="F1543" s="11" t="str">
        <f t="shared" si="24"/>
        <v>No</v>
      </c>
    </row>
    <row r="1544" spans="1:6" x14ac:dyDescent="0.3">
      <c r="A1544" s="9" t="s">
        <v>31</v>
      </c>
      <c r="B1544" s="9" t="s">
        <v>44</v>
      </c>
      <c r="C1544" s="9" t="s">
        <v>40</v>
      </c>
      <c r="D1544" s="9">
        <v>0</v>
      </c>
      <c r="E1544" s="11" t="s">
        <v>107</v>
      </c>
      <c r="F1544" s="11" t="str">
        <f t="shared" si="24"/>
        <v>No</v>
      </c>
    </row>
    <row r="1545" spans="1:6" x14ac:dyDescent="0.3">
      <c r="A1545" s="9" t="s">
        <v>31</v>
      </c>
      <c r="B1545" s="9" t="s">
        <v>45</v>
      </c>
      <c r="C1545" s="9" t="s">
        <v>40</v>
      </c>
      <c r="D1545" s="9">
        <v>0</v>
      </c>
      <c r="E1545" s="11" t="s">
        <v>107</v>
      </c>
      <c r="F1545" s="11" t="str">
        <f t="shared" si="24"/>
        <v>No</v>
      </c>
    </row>
    <row r="1546" spans="1:6" x14ac:dyDescent="0.3">
      <c r="A1546" s="9" t="s">
        <v>31</v>
      </c>
      <c r="B1546" s="9" t="s">
        <v>71</v>
      </c>
      <c r="C1546" s="9" t="s">
        <v>40</v>
      </c>
      <c r="D1546" s="9">
        <v>0</v>
      </c>
      <c r="E1546" s="11" t="s">
        <v>105</v>
      </c>
      <c r="F1546" s="11" t="str">
        <f t="shared" si="24"/>
        <v>Yes</v>
      </c>
    </row>
    <row r="1547" spans="1:6" x14ac:dyDescent="0.3">
      <c r="A1547" s="9" t="s">
        <v>31</v>
      </c>
      <c r="B1547" s="9" t="s">
        <v>72</v>
      </c>
      <c r="C1547" s="9" t="s">
        <v>40</v>
      </c>
      <c r="D1547" s="9">
        <v>0</v>
      </c>
      <c r="E1547" s="11" t="s">
        <v>105</v>
      </c>
      <c r="F1547" s="11" t="str">
        <f t="shared" si="24"/>
        <v>Yes</v>
      </c>
    </row>
    <row r="1548" spans="1:6" x14ac:dyDescent="0.3">
      <c r="A1548" s="9" t="s">
        <v>31</v>
      </c>
      <c r="B1548" s="9" t="s">
        <v>82</v>
      </c>
      <c r="C1548" s="9" t="s">
        <v>40</v>
      </c>
      <c r="D1548" s="9">
        <v>1</v>
      </c>
      <c r="E1548" s="11" t="s">
        <v>105</v>
      </c>
      <c r="F1548" s="11" t="str">
        <f t="shared" si="24"/>
        <v>Yes</v>
      </c>
    </row>
    <row r="1549" spans="1:6" x14ac:dyDescent="0.3">
      <c r="A1549" s="9" t="s">
        <v>31</v>
      </c>
      <c r="B1549" s="9" t="s">
        <v>81</v>
      </c>
      <c r="C1549" s="9" t="s">
        <v>81</v>
      </c>
      <c r="D1549" s="9">
        <v>0</v>
      </c>
      <c r="E1549" s="11" t="s">
        <v>105</v>
      </c>
      <c r="F1549" s="11" t="str">
        <f t="shared" si="24"/>
        <v>Yes</v>
      </c>
    </row>
    <row r="1550" spans="1:6" x14ac:dyDescent="0.3">
      <c r="A1550" s="9" t="s">
        <v>31</v>
      </c>
      <c r="B1550" s="9" t="s">
        <v>73</v>
      </c>
      <c r="C1550" s="9" t="s">
        <v>81</v>
      </c>
      <c r="D1550" s="9">
        <v>0</v>
      </c>
      <c r="E1550" s="11" t="s">
        <v>105</v>
      </c>
      <c r="F1550" s="11" t="str">
        <f t="shared" si="24"/>
        <v>Yes</v>
      </c>
    </row>
    <row r="1551" spans="1:6" x14ac:dyDescent="0.3">
      <c r="A1551" s="9" t="s">
        <v>31</v>
      </c>
      <c r="B1551" s="9" t="s">
        <v>80</v>
      </c>
      <c r="C1551" s="9" t="s">
        <v>81</v>
      </c>
      <c r="D1551" s="9">
        <v>0</v>
      </c>
      <c r="E1551" s="11" t="s">
        <v>105</v>
      </c>
      <c r="F1551" s="11" t="str">
        <f t="shared" si="24"/>
        <v>Yes</v>
      </c>
    </row>
    <row r="1552" spans="1:6" x14ac:dyDescent="0.3">
      <c r="A1552" s="9" t="s">
        <v>31</v>
      </c>
      <c r="B1552" s="9" t="s">
        <v>79</v>
      </c>
      <c r="C1552" s="9" t="s">
        <v>96</v>
      </c>
      <c r="D1552" s="9">
        <v>6</v>
      </c>
      <c r="E1552" s="11" t="s">
        <v>106</v>
      </c>
      <c r="F1552" s="11" t="str">
        <f t="shared" si="24"/>
        <v>Yes</v>
      </c>
    </row>
    <row r="1553" spans="1:6" x14ac:dyDescent="0.3">
      <c r="A1553" s="9" t="s">
        <v>31</v>
      </c>
      <c r="B1553" s="9" t="s">
        <v>46</v>
      </c>
      <c r="C1553" s="9" t="s">
        <v>96</v>
      </c>
      <c r="D1553" s="9">
        <v>5</v>
      </c>
      <c r="E1553" s="11" t="s">
        <v>107</v>
      </c>
      <c r="F1553" s="11" t="str">
        <f t="shared" si="24"/>
        <v>No</v>
      </c>
    </row>
    <row r="1554" spans="1:6" x14ac:dyDescent="0.3">
      <c r="A1554" s="9" t="s">
        <v>31</v>
      </c>
      <c r="B1554" s="9" t="s">
        <v>47</v>
      </c>
      <c r="C1554" s="9" t="s">
        <v>96</v>
      </c>
      <c r="D1554" s="9">
        <v>1</v>
      </c>
      <c r="E1554" s="11" t="s">
        <v>107</v>
      </c>
      <c r="F1554" s="11" t="str">
        <f t="shared" si="24"/>
        <v>No</v>
      </c>
    </row>
    <row r="1555" spans="1:6" x14ac:dyDescent="0.3">
      <c r="A1555" s="9" t="s">
        <v>31</v>
      </c>
      <c r="B1555" s="9" t="s">
        <v>48</v>
      </c>
      <c r="C1555" s="9" t="s">
        <v>97</v>
      </c>
      <c r="D1555" s="9">
        <v>1</v>
      </c>
      <c r="E1555" s="11" t="s">
        <v>106</v>
      </c>
      <c r="F1555" s="11" t="str">
        <f t="shared" si="24"/>
        <v>Yes</v>
      </c>
    </row>
    <row r="1556" spans="1:6" x14ac:dyDescent="0.3">
      <c r="A1556" s="9" t="s">
        <v>31</v>
      </c>
      <c r="B1556" s="9" t="s">
        <v>49</v>
      </c>
      <c r="C1556" s="9" t="s">
        <v>97</v>
      </c>
      <c r="D1556" s="9">
        <v>1</v>
      </c>
      <c r="E1556" s="11" t="s">
        <v>107</v>
      </c>
      <c r="F1556" s="11" t="str">
        <f t="shared" si="24"/>
        <v>No</v>
      </c>
    </row>
    <row r="1557" spans="1:6" x14ac:dyDescent="0.3">
      <c r="A1557" s="9" t="s">
        <v>31</v>
      </c>
      <c r="B1557" s="9" t="s">
        <v>50</v>
      </c>
      <c r="C1557" s="9" t="s">
        <v>97</v>
      </c>
      <c r="D1557" s="9">
        <v>0</v>
      </c>
      <c r="E1557" s="11" t="s">
        <v>107</v>
      </c>
      <c r="F1557" s="11" t="str">
        <f t="shared" si="24"/>
        <v>No</v>
      </c>
    </row>
    <row r="1558" spans="1:6" x14ac:dyDescent="0.3">
      <c r="A1558" s="9" t="s">
        <v>31</v>
      </c>
      <c r="B1558" s="9" t="s">
        <v>51</v>
      </c>
      <c r="C1558" s="9" t="s">
        <v>99</v>
      </c>
      <c r="D1558" s="9">
        <v>12</v>
      </c>
      <c r="E1558" s="11" t="s">
        <v>106</v>
      </c>
      <c r="F1558" s="11" t="str">
        <f t="shared" si="24"/>
        <v>Yes</v>
      </c>
    </row>
    <row r="1559" spans="1:6" x14ac:dyDescent="0.3">
      <c r="A1559" s="9" t="s">
        <v>31</v>
      </c>
      <c r="B1559" s="9" t="s">
        <v>52</v>
      </c>
      <c r="C1559" s="9" t="s">
        <v>99</v>
      </c>
      <c r="D1559" s="9">
        <v>12</v>
      </c>
      <c r="E1559" s="11" t="s">
        <v>107</v>
      </c>
      <c r="F1559" s="11" t="str">
        <f t="shared" si="24"/>
        <v>No</v>
      </c>
    </row>
    <row r="1560" spans="1:6" x14ac:dyDescent="0.3">
      <c r="A1560" s="9" t="s">
        <v>31</v>
      </c>
      <c r="B1560" s="9" t="s">
        <v>53</v>
      </c>
      <c r="C1560" s="9" t="s">
        <v>99</v>
      </c>
      <c r="D1560" s="9">
        <v>0</v>
      </c>
      <c r="E1560" s="11" t="s">
        <v>107</v>
      </c>
      <c r="F1560" s="11" t="str">
        <f t="shared" si="24"/>
        <v>No</v>
      </c>
    </row>
    <row r="1561" spans="1:6" x14ac:dyDescent="0.3">
      <c r="A1561" s="9" t="s">
        <v>31</v>
      </c>
      <c r="B1561" s="9" t="s">
        <v>54</v>
      </c>
      <c r="C1561" s="9" t="s">
        <v>98</v>
      </c>
      <c r="D1561" s="9">
        <v>3</v>
      </c>
      <c r="E1561" s="11" t="s">
        <v>106</v>
      </c>
      <c r="F1561" s="11" t="str">
        <f t="shared" si="24"/>
        <v>Yes</v>
      </c>
    </row>
    <row r="1562" spans="1:6" x14ac:dyDescent="0.3">
      <c r="A1562" s="9" t="s">
        <v>31</v>
      </c>
      <c r="B1562" s="9" t="s">
        <v>55</v>
      </c>
      <c r="C1562" s="9" t="s">
        <v>98</v>
      </c>
      <c r="D1562" s="9">
        <v>3</v>
      </c>
      <c r="E1562" s="11" t="s">
        <v>107</v>
      </c>
      <c r="F1562" s="11" t="str">
        <f t="shared" si="24"/>
        <v>No</v>
      </c>
    </row>
    <row r="1563" spans="1:6" x14ac:dyDescent="0.3">
      <c r="A1563" s="9" t="s">
        <v>31</v>
      </c>
      <c r="B1563" s="9" t="s">
        <v>56</v>
      </c>
      <c r="C1563" s="9" t="s">
        <v>98</v>
      </c>
      <c r="D1563" s="9">
        <v>0</v>
      </c>
      <c r="E1563" s="11" t="s">
        <v>107</v>
      </c>
      <c r="F1563" s="11" t="str">
        <f t="shared" si="24"/>
        <v>No</v>
      </c>
    </row>
    <row r="1564" spans="1:6" x14ac:dyDescent="0.3">
      <c r="A1564" s="9" t="s">
        <v>31</v>
      </c>
      <c r="B1564" s="9" t="s">
        <v>74</v>
      </c>
      <c r="C1564" s="9" t="s">
        <v>74</v>
      </c>
      <c r="D1564" s="9">
        <v>0</v>
      </c>
      <c r="E1564" s="11" t="s">
        <v>105</v>
      </c>
      <c r="F1564" s="11" t="str">
        <f t="shared" si="24"/>
        <v>Yes</v>
      </c>
    </row>
    <row r="1565" spans="1:6" x14ac:dyDescent="0.3">
      <c r="A1565" s="9" t="s">
        <v>31</v>
      </c>
      <c r="B1565" s="9" t="s">
        <v>57</v>
      </c>
      <c r="C1565" s="9" t="s">
        <v>100</v>
      </c>
      <c r="D1565" s="9">
        <v>8</v>
      </c>
      <c r="E1565" s="11" t="s">
        <v>106</v>
      </c>
      <c r="F1565" s="11" t="str">
        <f t="shared" si="24"/>
        <v>Yes</v>
      </c>
    </row>
    <row r="1566" spans="1:6" x14ac:dyDescent="0.3">
      <c r="A1566" s="9" t="s">
        <v>31</v>
      </c>
      <c r="B1566" s="9" t="s">
        <v>76</v>
      </c>
      <c r="C1566" s="9" t="s">
        <v>100</v>
      </c>
      <c r="D1566" s="9">
        <v>0</v>
      </c>
      <c r="E1566" s="11" t="s">
        <v>107</v>
      </c>
      <c r="F1566" s="11" t="str">
        <f t="shared" si="24"/>
        <v>No</v>
      </c>
    </row>
    <row r="1567" spans="1:6" x14ac:dyDescent="0.3">
      <c r="A1567" s="9" t="s">
        <v>31</v>
      </c>
      <c r="B1567" s="9" t="s">
        <v>58</v>
      </c>
      <c r="C1567" s="9" t="s">
        <v>100</v>
      </c>
      <c r="D1567" s="9">
        <v>0</v>
      </c>
      <c r="E1567" s="11" t="s">
        <v>107</v>
      </c>
      <c r="F1567" s="11" t="str">
        <f t="shared" si="24"/>
        <v>No</v>
      </c>
    </row>
    <row r="1568" spans="1:6" x14ac:dyDescent="0.3">
      <c r="A1568" s="9" t="s">
        <v>31</v>
      </c>
      <c r="B1568" s="9" t="s">
        <v>59</v>
      </c>
      <c r="C1568" s="9" t="s">
        <v>100</v>
      </c>
      <c r="D1568" s="9">
        <v>8</v>
      </c>
      <c r="E1568" s="11" t="s">
        <v>107</v>
      </c>
      <c r="F1568" s="11" t="str">
        <f t="shared" si="24"/>
        <v>No</v>
      </c>
    </row>
    <row r="1569" spans="1:6" x14ac:dyDescent="0.3">
      <c r="A1569" s="9" t="s">
        <v>31</v>
      </c>
      <c r="B1569" s="9" t="s">
        <v>60</v>
      </c>
      <c r="C1569" s="9" t="s">
        <v>100</v>
      </c>
      <c r="D1569" s="9">
        <v>0</v>
      </c>
      <c r="E1569" s="11" t="s">
        <v>107</v>
      </c>
      <c r="F1569" s="11" t="str">
        <f t="shared" si="24"/>
        <v>No</v>
      </c>
    </row>
    <row r="1570" spans="1:6" x14ac:dyDescent="0.3">
      <c r="A1570" s="9" t="s">
        <v>31</v>
      </c>
      <c r="B1570" s="9" t="s">
        <v>61</v>
      </c>
      <c r="C1570" s="9" t="s">
        <v>100</v>
      </c>
      <c r="D1570" s="9">
        <v>0</v>
      </c>
      <c r="E1570" s="11" t="s">
        <v>107</v>
      </c>
      <c r="F1570" s="11" t="str">
        <f t="shared" si="24"/>
        <v>No</v>
      </c>
    </row>
    <row r="1571" spans="1:6" x14ac:dyDescent="0.3">
      <c r="A1571" s="9" t="s">
        <v>31</v>
      </c>
      <c r="B1571" s="9" t="s">
        <v>78</v>
      </c>
      <c r="C1571" s="9" t="s">
        <v>95</v>
      </c>
      <c r="D1571" s="9">
        <v>0</v>
      </c>
      <c r="E1571" s="11" t="s">
        <v>105</v>
      </c>
      <c r="F1571" s="11" t="str">
        <f t="shared" si="24"/>
        <v>Yes</v>
      </c>
    </row>
    <row r="1572" spans="1:6" x14ac:dyDescent="0.3">
      <c r="A1572" s="9" t="s">
        <v>31</v>
      </c>
      <c r="B1572" s="9" t="s">
        <v>62</v>
      </c>
      <c r="C1572" s="9" t="s">
        <v>101</v>
      </c>
      <c r="D1572" s="9">
        <v>3</v>
      </c>
      <c r="E1572" s="11" t="s">
        <v>106</v>
      </c>
      <c r="F1572" s="11" t="str">
        <f t="shared" si="24"/>
        <v>Yes</v>
      </c>
    </row>
    <row r="1573" spans="1:6" x14ac:dyDescent="0.3">
      <c r="A1573" s="9" t="s">
        <v>31</v>
      </c>
      <c r="B1573" s="9" t="s">
        <v>63</v>
      </c>
      <c r="C1573" s="9" t="s">
        <v>101</v>
      </c>
      <c r="D1573" s="9">
        <v>3</v>
      </c>
      <c r="E1573" s="11" t="s">
        <v>107</v>
      </c>
      <c r="F1573" s="11" t="str">
        <f t="shared" si="24"/>
        <v>No</v>
      </c>
    </row>
    <row r="1574" spans="1:6" x14ac:dyDescent="0.3">
      <c r="A1574" s="9" t="s">
        <v>31</v>
      </c>
      <c r="B1574" s="9" t="s">
        <v>64</v>
      </c>
      <c r="C1574" s="9" t="s">
        <v>101</v>
      </c>
      <c r="D1574" s="9">
        <v>0</v>
      </c>
      <c r="E1574" s="11" t="s">
        <v>107</v>
      </c>
      <c r="F1574" s="11" t="str">
        <f t="shared" si="24"/>
        <v>No</v>
      </c>
    </row>
    <row r="1575" spans="1:6" x14ac:dyDescent="0.3">
      <c r="A1575" s="9" t="s">
        <v>31</v>
      </c>
      <c r="B1575" s="9" t="s">
        <v>77</v>
      </c>
      <c r="C1575" s="9" t="s">
        <v>102</v>
      </c>
      <c r="D1575" s="9">
        <v>53</v>
      </c>
      <c r="E1575" s="11" t="s">
        <v>106</v>
      </c>
      <c r="F1575" s="11" t="str">
        <f t="shared" si="24"/>
        <v>Yes</v>
      </c>
    </row>
    <row r="1576" spans="1:6" x14ac:dyDescent="0.3">
      <c r="A1576" s="9" t="s">
        <v>31</v>
      </c>
      <c r="B1576" s="9" t="s">
        <v>65</v>
      </c>
      <c r="C1576" s="9" t="s">
        <v>102</v>
      </c>
      <c r="D1576" s="9">
        <v>50</v>
      </c>
      <c r="E1576" s="11" t="s">
        <v>107</v>
      </c>
      <c r="F1576" s="11" t="str">
        <f t="shared" si="24"/>
        <v>No</v>
      </c>
    </row>
    <row r="1577" spans="1:6" x14ac:dyDescent="0.3">
      <c r="A1577" s="9" t="s">
        <v>31</v>
      </c>
      <c r="B1577" s="9" t="s">
        <v>66</v>
      </c>
      <c r="C1577" s="9" t="s">
        <v>102</v>
      </c>
      <c r="D1577" s="9">
        <v>1</v>
      </c>
      <c r="E1577" s="11" t="s">
        <v>107</v>
      </c>
      <c r="F1577" s="11" t="str">
        <f t="shared" si="24"/>
        <v>No</v>
      </c>
    </row>
    <row r="1578" spans="1:6" x14ac:dyDescent="0.3">
      <c r="A1578" s="9" t="s">
        <v>31</v>
      </c>
      <c r="B1578" s="9" t="s">
        <v>67</v>
      </c>
      <c r="C1578" s="9" t="s">
        <v>102</v>
      </c>
      <c r="D1578" s="9">
        <v>2</v>
      </c>
      <c r="E1578" s="11" t="s">
        <v>107</v>
      </c>
      <c r="F1578" s="11" t="str">
        <f t="shared" si="24"/>
        <v>No</v>
      </c>
    </row>
    <row r="1579" spans="1:6" x14ac:dyDescent="0.3">
      <c r="A1579" s="9" t="s">
        <v>31</v>
      </c>
      <c r="B1579" s="9" t="s">
        <v>68</v>
      </c>
      <c r="C1579" s="9" t="s">
        <v>102</v>
      </c>
      <c r="D1579" s="9">
        <v>0</v>
      </c>
      <c r="E1579" s="11" t="s">
        <v>107</v>
      </c>
      <c r="F1579" s="11" t="str">
        <f t="shared" si="24"/>
        <v>No</v>
      </c>
    </row>
    <row r="1580" spans="1:6" x14ac:dyDescent="0.3">
      <c r="A1580" s="9" t="s">
        <v>31</v>
      </c>
      <c r="B1580" s="9" t="s">
        <v>69</v>
      </c>
      <c r="C1580" s="9" t="s">
        <v>102</v>
      </c>
      <c r="D1580" s="9">
        <v>0</v>
      </c>
      <c r="E1580" s="11" t="s">
        <v>107</v>
      </c>
      <c r="F1580" s="11" t="str">
        <f t="shared" si="24"/>
        <v>No</v>
      </c>
    </row>
    <row r="1581" spans="1:6" x14ac:dyDescent="0.3">
      <c r="A1581" s="9" t="s">
        <v>31</v>
      </c>
      <c r="B1581" s="9" t="s">
        <v>70</v>
      </c>
      <c r="C1581" s="9" t="s">
        <v>102</v>
      </c>
      <c r="D1581" s="9">
        <v>0</v>
      </c>
      <c r="E1581" s="11" t="s">
        <v>107</v>
      </c>
      <c r="F1581" s="11" t="str">
        <f t="shared" si="24"/>
        <v>No</v>
      </c>
    </row>
    <row r="1582" spans="1:6" x14ac:dyDescent="0.3">
      <c r="A1582" s="9" t="s">
        <v>31</v>
      </c>
      <c r="B1582" s="9" t="s">
        <v>75</v>
      </c>
      <c r="C1582" s="9" t="s">
        <v>103</v>
      </c>
      <c r="D1582" s="9">
        <v>0</v>
      </c>
      <c r="E1582" s="11" t="s">
        <v>105</v>
      </c>
      <c r="F1582" s="11" t="str">
        <f t="shared" si="24"/>
        <v>Yes</v>
      </c>
    </row>
    <row r="1583" spans="1:6" x14ac:dyDescent="0.3">
      <c r="A1583" s="9" t="s">
        <v>32</v>
      </c>
      <c r="B1583" s="9" t="s">
        <v>88</v>
      </c>
      <c r="C1583" s="9" t="s">
        <v>92</v>
      </c>
      <c r="D1583" s="9">
        <v>3</v>
      </c>
      <c r="E1583" s="11" t="s">
        <v>105</v>
      </c>
      <c r="F1583" s="11" t="str">
        <f t="shared" si="24"/>
        <v>Yes</v>
      </c>
    </row>
    <row r="1584" spans="1:6" x14ac:dyDescent="0.3">
      <c r="A1584" s="9" t="s">
        <v>32</v>
      </c>
      <c r="B1584" s="9" t="s">
        <v>38</v>
      </c>
      <c r="C1584" s="9" t="s">
        <v>93</v>
      </c>
      <c r="D1584" s="9">
        <v>115</v>
      </c>
      <c r="E1584" s="11" t="s">
        <v>105</v>
      </c>
      <c r="F1584" s="11" t="str">
        <f t="shared" si="24"/>
        <v>Yes</v>
      </c>
    </row>
    <row r="1585" spans="1:6" x14ac:dyDescent="0.3">
      <c r="A1585" s="9" t="s">
        <v>32</v>
      </c>
      <c r="B1585" s="9" t="s">
        <v>87</v>
      </c>
      <c r="C1585" s="9" t="s">
        <v>94</v>
      </c>
      <c r="D1585" s="9">
        <v>42</v>
      </c>
      <c r="E1585" s="11" t="s">
        <v>105</v>
      </c>
      <c r="F1585" s="11" t="str">
        <f t="shared" si="24"/>
        <v>Yes</v>
      </c>
    </row>
    <row r="1586" spans="1:6" x14ac:dyDescent="0.3">
      <c r="A1586" s="9" t="s">
        <v>32</v>
      </c>
      <c r="B1586" s="9" t="s">
        <v>86</v>
      </c>
      <c r="C1586" s="9" t="s">
        <v>86</v>
      </c>
      <c r="D1586" s="9">
        <v>10</v>
      </c>
      <c r="E1586" s="11" t="s">
        <v>105</v>
      </c>
      <c r="F1586" s="11" t="str">
        <f t="shared" si="24"/>
        <v>Yes</v>
      </c>
    </row>
    <row r="1587" spans="1:6" x14ac:dyDescent="0.3">
      <c r="A1587" s="9" t="s">
        <v>32</v>
      </c>
      <c r="B1587" s="9" t="s">
        <v>85</v>
      </c>
      <c r="C1587" s="9" t="s">
        <v>85</v>
      </c>
      <c r="D1587" s="9">
        <v>6</v>
      </c>
      <c r="E1587" s="11" t="s">
        <v>105</v>
      </c>
      <c r="F1587" s="11" t="str">
        <f t="shared" si="24"/>
        <v>Yes</v>
      </c>
    </row>
    <row r="1588" spans="1:6" x14ac:dyDescent="0.3">
      <c r="A1588" s="9" t="s">
        <v>32</v>
      </c>
      <c r="B1588" s="9" t="s">
        <v>84</v>
      </c>
      <c r="C1588" s="9" t="s">
        <v>85</v>
      </c>
      <c r="D1588" s="9">
        <v>2</v>
      </c>
      <c r="E1588" s="11" t="s">
        <v>105</v>
      </c>
      <c r="F1588" s="11" t="str">
        <f t="shared" si="24"/>
        <v>Yes</v>
      </c>
    </row>
    <row r="1589" spans="1:6" x14ac:dyDescent="0.3">
      <c r="A1589" s="9" t="s">
        <v>32</v>
      </c>
      <c r="B1589" s="9" t="s">
        <v>83</v>
      </c>
      <c r="C1589" s="9" t="s">
        <v>95</v>
      </c>
      <c r="D1589" s="9">
        <v>4236</v>
      </c>
      <c r="E1589" s="11" t="s">
        <v>105</v>
      </c>
      <c r="F1589" s="11" t="str">
        <f t="shared" si="24"/>
        <v>Yes</v>
      </c>
    </row>
    <row r="1590" spans="1:6" x14ac:dyDescent="0.3">
      <c r="A1590" s="9" t="s">
        <v>32</v>
      </c>
      <c r="B1590" s="9" t="s">
        <v>39</v>
      </c>
      <c r="C1590" s="9" t="s">
        <v>40</v>
      </c>
      <c r="D1590" s="9">
        <v>3970</v>
      </c>
      <c r="E1590" s="11" t="s">
        <v>106</v>
      </c>
      <c r="F1590" s="11" t="str">
        <f t="shared" si="24"/>
        <v>Yes</v>
      </c>
    </row>
    <row r="1591" spans="1:6" x14ac:dyDescent="0.3">
      <c r="A1591" s="9" t="s">
        <v>32</v>
      </c>
      <c r="B1591" s="9" t="s">
        <v>40</v>
      </c>
      <c r="C1591" s="9" t="s">
        <v>40</v>
      </c>
      <c r="D1591" s="9">
        <v>3838</v>
      </c>
      <c r="E1591" s="11" t="s">
        <v>107</v>
      </c>
      <c r="F1591" s="11" t="str">
        <f t="shared" si="24"/>
        <v>No</v>
      </c>
    </row>
    <row r="1592" spans="1:6" x14ac:dyDescent="0.3">
      <c r="A1592" s="9" t="s">
        <v>32</v>
      </c>
      <c r="B1592" s="9" t="s">
        <v>41</v>
      </c>
      <c r="C1592" s="9" t="s">
        <v>40</v>
      </c>
      <c r="D1592" s="9">
        <v>0</v>
      </c>
      <c r="E1592" s="11" t="s">
        <v>107</v>
      </c>
      <c r="F1592" s="11" t="str">
        <f t="shared" si="24"/>
        <v>No</v>
      </c>
    </row>
    <row r="1593" spans="1:6" x14ac:dyDescent="0.3">
      <c r="A1593" s="9" t="s">
        <v>32</v>
      </c>
      <c r="B1593" s="9" t="s">
        <v>42</v>
      </c>
      <c r="C1593" s="9" t="s">
        <v>40</v>
      </c>
      <c r="D1593" s="9">
        <v>3</v>
      </c>
      <c r="E1593" s="11" t="s">
        <v>107</v>
      </c>
      <c r="F1593" s="11" t="str">
        <f t="shared" si="24"/>
        <v>No</v>
      </c>
    </row>
    <row r="1594" spans="1:6" x14ac:dyDescent="0.3">
      <c r="A1594" s="9" t="s">
        <v>32</v>
      </c>
      <c r="B1594" s="9" t="s">
        <v>43</v>
      </c>
      <c r="C1594" s="9" t="s">
        <v>40</v>
      </c>
      <c r="D1594" s="9">
        <v>0</v>
      </c>
      <c r="E1594" s="11" t="s">
        <v>106</v>
      </c>
      <c r="F1594" s="11" t="str">
        <f t="shared" si="24"/>
        <v>No</v>
      </c>
    </row>
    <row r="1595" spans="1:6" x14ac:dyDescent="0.3">
      <c r="A1595" s="9" t="s">
        <v>32</v>
      </c>
      <c r="B1595" s="9" t="s">
        <v>44</v>
      </c>
      <c r="C1595" s="9" t="s">
        <v>40</v>
      </c>
      <c r="D1595" s="9">
        <v>0</v>
      </c>
      <c r="E1595" s="11" t="s">
        <v>107</v>
      </c>
      <c r="F1595" s="11" t="str">
        <f t="shared" si="24"/>
        <v>No</v>
      </c>
    </row>
    <row r="1596" spans="1:6" x14ac:dyDescent="0.3">
      <c r="A1596" s="9" t="s">
        <v>32</v>
      </c>
      <c r="B1596" s="9" t="s">
        <v>45</v>
      </c>
      <c r="C1596" s="9" t="s">
        <v>40</v>
      </c>
      <c r="D1596" s="9">
        <v>0</v>
      </c>
      <c r="E1596" s="11" t="s">
        <v>107</v>
      </c>
      <c r="F1596" s="11" t="str">
        <f t="shared" si="24"/>
        <v>No</v>
      </c>
    </row>
    <row r="1597" spans="1:6" x14ac:dyDescent="0.3">
      <c r="A1597" s="9" t="s">
        <v>32</v>
      </c>
      <c r="B1597" s="9" t="s">
        <v>71</v>
      </c>
      <c r="C1597" s="9" t="s">
        <v>40</v>
      </c>
      <c r="D1597" s="9">
        <v>0</v>
      </c>
      <c r="E1597" s="11" t="s">
        <v>105</v>
      </c>
      <c r="F1597" s="11" t="str">
        <f t="shared" si="24"/>
        <v>Yes</v>
      </c>
    </row>
    <row r="1598" spans="1:6" x14ac:dyDescent="0.3">
      <c r="A1598" s="9" t="s">
        <v>32</v>
      </c>
      <c r="B1598" s="9" t="s">
        <v>72</v>
      </c>
      <c r="C1598" s="9" t="s">
        <v>40</v>
      </c>
      <c r="D1598" s="9">
        <v>0</v>
      </c>
      <c r="E1598" s="11" t="s">
        <v>105</v>
      </c>
      <c r="F1598" s="11" t="str">
        <f t="shared" si="24"/>
        <v>Yes</v>
      </c>
    </row>
    <row r="1599" spans="1:6" x14ac:dyDescent="0.3">
      <c r="A1599" s="9" t="s">
        <v>32</v>
      </c>
      <c r="B1599" s="9" t="s">
        <v>82</v>
      </c>
      <c r="C1599" s="9" t="s">
        <v>40</v>
      </c>
      <c r="D1599" s="9">
        <v>129</v>
      </c>
      <c r="E1599" s="11" t="s">
        <v>105</v>
      </c>
      <c r="F1599" s="11" t="str">
        <f t="shared" si="24"/>
        <v>Yes</v>
      </c>
    </row>
    <row r="1600" spans="1:6" x14ac:dyDescent="0.3">
      <c r="A1600" s="9" t="s">
        <v>32</v>
      </c>
      <c r="B1600" s="9" t="s">
        <v>81</v>
      </c>
      <c r="C1600" s="9" t="s">
        <v>81</v>
      </c>
      <c r="D1600" s="9">
        <v>44</v>
      </c>
      <c r="E1600" s="11" t="s">
        <v>105</v>
      </c>
      <c r="F1600" s="11" t="str">
        <f t="shared" si="24"/>
        <v>Yes</v>
      </c>
    </row>
    <row r="1601" spans="1:6" x14ac:dyDescent="0.3">
      <c r="A1601" s="9" t="s">
        <v>32</v>
      </c>
      <c r="B1601" s="9" t="s">
        <v>73</v>
      </c>
      <c r="C1601" s="9" t="s">
        <v>81</v>
      </c>
      <c r="D1601" s="9">
        <v>0</v>
      </c>
      <c r="E1601" s="11" t="s">
        <v>105</v>
      </c>
      <c r="F1601" s="11" t="str">
        <f t="shared" si="24"/>
        <v>Yes</v>
      </c>
    </row>
    <row r="1602" spans="1:6" x14ac:dyDescent="0.3">
      <c r="A1602" s="9" t="s">
        <v>32</v>
      </c>
      <c r="B1602" s="9" t="s">
        <v>80</v>
      </c>
      <c r="C1602" s="9" t="s">
        <v>81</v>
      </c>
      <c r="D1602" s="9">
        <v>0</v>
      </c>
      <c r="E1602" s="11" t="s">
        <v>105</v>
      </c>
      <c r="F1602" s="11" t="str">
        <f t="shared" ref="F1602:F1665" si="25">IF(E1602="Standalone","Yes",IF(AND(E1602="Total",OR(B1602="Kidnapping &amp; Abduction (Total)",B1602="Rape (Total)",B1602="Attempt to Rape (Total)",B1602="Assault to Outrage Modesty (Total)",B1602="Insult to Modesty (Total)",B1602="Immoral Traffic (Prevention) Act (Total)",B1602="Women-Centric Cyber Crime (Total)",B1602="POCSO (Protection of Children from Sexual Offences Act) (Total)")),"Yes","No"))</f>
        <v>Yes</v>
      </c>
    </row>
    <row r="1603" spans="1:6" x14ac:dyDescent="0.3">
      <c r="A1603" s="9" t="s">
        <v>32</v>
      </c>
      <c r="B1603" s="9" t="s">
        <v>79</v>
      </c>
      <c r="C1603" s="9" t="s">
        <v>96</v>
      </c>
      <c r="D1603" s="9">
        <v>1094</v>
      </c>
      <c r="E1603" s="11" t="s">
        <v>106</v>
      </c>
      <c r="F1603" s="11" t="str">
        <f t="shared" si="25"/>
        <v>Yes</v>
      </c>
    </row>
    <row r="1604" spans="1:6" x14ac:dyDescent="0.3">
      <c r="A1604" s="9" t="s">
        <v>32</v>
      </c>
      <c r="B1604" s="9" t="s">
        <v>46</v>
      </c>
      <c r="C1604" s="9" t="s">
        <v>96</v>
      </c>
      <c r="D1604" s="9">
        <v>1094</v>
      </c>
      <c r="E1604" s="11" t="s">
        <v>107</v>
      </c>
      <c r="F1604" s="11" t="str">
        <f t="shared" si="25"/>
        <v>No</v>
      </c>
    </row>
    <row r="1605" spans="1:6" x14ac:dyDescent="0.3">
      <c r="A1605" s="9" t="s">
        <v>32</v>
      </c>
      <c r="B1605" s="9" t="s">
        <v>47</v>
      </c>
      <c r="C1605" s="9" t="s">
        <v>96</v>
      </c>
      <c r="D1605" s="9">
        <v>0</v>
      </c>
      <c r="E1605" s="11" t="s">
        <v>107</v>
      </c>
      <c r="F1605" s="11" t="str">
        <f t="shared" si="25"/>
        <v>No</v>
      </c>
    </row>
    <row r="1606" spans="1:6" x14ac:dyDescent="0.3">
      <c r="A1606" s="9" t="s">
        <v>32</v>
      </c>
      <c r="B1606" s="9" t="s">
        <v>48</v>
      </c>
      <c r="C1606" s="9" t="s">
        <v>97</v>
      </c>
      <c r="D1606" s="9">
        <v>0</v>
      </c>
      <c r="E1606" s="11" t="s">
        <v>106</v>
      </c>
      <c r="F1606" s="11" t="str">
        <f t="shared" si="25"/>
        <v>Yes</v>
      </c>
    </row>
    <row r="1607" spans="1:6" x14ac:dyDescent="0.3">
      <c r="A1607" s="9" t="s">
        <v>32</v>
      </c>
      <c r="B1607" s="9" t="s">
        <v>49</v>
      </c>
      <c r="C1607" s="9" t="s">
        <v>97</v>
      </c>
      <c r="D1607" s="9">
        <v>0</v>
      </c>
      <c r="E1607" s="11" t="s">
        <v>107</v>
      </c>
      <c r="F1607" s="11" t="str">
        <f t="shared" si="25"/>
        <v>No</v>
      </c>
    </row>
    <row r="1608" spans="1:6" x14ac:dyDescent="0.3">
      <c r="A1608" s="9" t="s">
        <v>32</v>
      </c>
      <c r="B1608" s="9" t="s">
        <v>50</v>
      </c>
      <c r="C1608" s="9" t="s">
        <v>97</v>
      </c>
      <c r="D1608" s="9">
        <v>0</v>
      </c>
      <c r="E1608" s="11" t="s">
        <v>107</v>
      </c>
      <c r="F1608" s="11" t="str">
        <f t="shared" si="25"/>
        <v>No</v>
      </c>
    </row>
    <row r="1609" spans="1:6" x14ac:dyDescent="0.3">
      <c r="A1609" s="9" t="s">
        <v>32</v>
      </c>
      <c r="B1609" s="9" t="s">
        <v>51</v>
      </c>
      <c r="C1609" s="9" t="s">
        <v>99</v>
      </c>
      <c r="D1609" s="9">
        <v>1814</v>
      </c>
      <c r="E1609" s="11" t="s">
        <v>106</v>
      </c>
      <c r="F1609" s="11" t="str">
        <f t="shared" si="25"/>
        <v>Yes</v>
      </c>
    </row>
    <row r="1610" spans="1:6" x14ac:dyDescent="0.3">
      <c r="A1610" s="9" t="s">
        <v>32</v>
      </c>
      <c r="B1610" s="9" t="s">
        <v>52</v>
      </c>
      <c r="C1610" s="9" t="s">
        <v>99</v>
      </c>
      <c r="D1610" s="9">
        <v>1814</v>
      </c>
      <c r="E1610" s="11" t="s">
        <v>107</v>
      </c>
      <c r="F1610" s="11" t="str">
        <f t="shared" si="25"/>
        <v>No</v>
      </c>
    </row>
    <row r="1611" spans="1:6" x14ac:dyDescent="0.3">
      <c r="A1611" s="9" t="s">
        <v>32</v>
      </c>
      <c r="B1611" s="9" t="s">
        <v>53</v>
      </c>
      <c r="C1611" s="9" t="s">
        <v>99</v>
      </c>
      <c r="D1611" s="9">
        <v>0</v>
      </c>
      <c r="E1611" s="11" t="s">
        <v>107</v>
      </c>
      <c r="F1611" s="11" t="str">
        <f t="shared" si="25"/>
        <v>No</v>
      </c>
    </row>
    <row r="1612" spans="1:6" x14ac:dyDescent="0.3">
      <c r="A1612" s="9" t="s">
        <v>32</v>
      </c>
      <c r="B1612" s="9" t="s">
        <v>54</v>
      </c>
      <c r="C1612" s="9" t="s">
        <v>98</v>
      </c>
      <c r="D1612" s="9">
        <v>352</v>
      </c>
      <c r="E1612" s="11" t="s">
        <v>106</v>
      </c>
      <c r="F1612" s="11" t="str">
        <f t="shared" si="25"/>
        <v>Yes</v>
      </c>
    </row>
    <row r="1613" spans="1:6" x14ac:dyDescent="0.3">
      <c r="A1613" s="9" t="s">
        <v>32</v>
      </c>
      <c r="B1613" s="9" t="s">
        <v>55</v>
      </c>
      <c r="C1613" s="9" t="s">
        <v>98</v>
      </c>
      <c r="D1613" s="9">
        <v>351</v>
      </c>
      <c r="E1613" s="11" t="s">
        <v>107</v>
      </c>
      <c r="F1613" s="11" t="str">
        <f t="shared" si="25"/>
        <v>No</v>
      </c>
    </row>
    <row r="1614" spans="1:6" x14ac:dyDescent="0.3">
      <c r="A1614" s="9" t="s">
        <v>32</v>
      </c>
      <c r="B1614" s="9" t="s">
        <v>56</v>
      </c>
      <c r="C1614" s="9" t="s">
        <v>98</v>
      </c>
      <c r="D1614" s="9">
        <v>1</v>
      </c>
      <c r="E1614" s="11" t="s">
        <v>107</v>
      </c>
      <c r="F1614" s="11" t="str">
        <f t="shared" si="25"/>
        <v>No</v>
      </c>
    </row>
    <row r="1615" spans="1:6" x14ac:dyDescent="0.3">
      <c r="A1615" s="9" t="s">
        <v>32</v>
      </c>
      <c r="B1615" s="9" t="s">
        <v>74</v>
      </c>
      <c r="C1615" s="9" t="s">
        <v>74</v>
      </c>
      <c r="D1615" s="9">
        <v>16</v>
      </c>
      <c r="E1615" s="11" t="s">
        <v>105</v>
      </c>
      <c r="F1615" s="11" t="str">
        <f t="shared" si="25"/>
        <v>Yes</v>
      </c>
    </row>
    <row r="1616" spans="1:6" x14ac:dyDescent="0.3">
      <c r="A1616" s="9" t="s">
        <v>32</v>
      </c>
      <c r="B1616" s="9" t="s">
        <v>57</v>
      </c>
      <c r="C1616" s="9" t="s">
        <v>100</v>
      </c>
      <c r="D1616" s="9">
        <v>59</v>
      </c>
      <c r="E1616" s="11" t="s">
        <v>106</v>
      </c>
      <c r="F1616" s="11" t="str">
        <f t="shared" si="25"/>
        <v>Yes</v>
      </c>
    </row>
    <row r="1617" spans="1:6" x14ac:dyDescent="0.3">
      <c r="A1617" s="9" t="s">
        <v>32</v>
      </c>
      <c r="B1617" s="9" t="s">
        <v>76</v>
      </c>
      <c r="C1617" s="9" t="s">
        <v>100</v>
      </c>
      <c r="D1617" s="9">
        <v>1</v>
      </c>
      <c r="E1617" s="11" t="s">
        <v>107</v>
      </c>
      <c r="F1617" s="11" t="str">
        <f t="shared" si="25"/>
        <v>No</v>
      </c>
    </row>
    <row r="1618" spans="1:6" x14ac:dyDescent="0.3">
      <c r="A1618" s="9" t="s">
        <v>32</v>
      </c>
      <c r="B1618" s="9" t="s">
        <v>58</v>
      </c>
      <c r="C1618" s="9" t="s">
        <v>100</v>
      </c>
      <c r="D1618" s="9">
        <v>1</v>
      </c>
      <c r="E1618" s="11" t="s">
        <v>107</v>
      </c>
      <c r="F1618" s="11" t="str">
        <f t="shared" si="25"/>
        <v>No</v>
      </c>
    </row>
    <row r="1619" spans="1:6" x14ac:dyDescent="0.3">
      <c r="A1619" s="9" t="s">
        <v>32</v>
      </c>
      <c r="B1619" s="9" t="s">
        <v>59</v>
      </c>
      <c r="C1619" s="9" t="s">
        <v>100</v>
      </c>
      <c r="D1619" s="9">
        <v>0</v>
      </c>
      <c r="E1619" s="11" t="s">
        <v>107</v>
      </c>
      <c r="F1619" s="11" t="str">
        <f t="shared" si="25"/>
        <v>No</v>
      </c>
    </row>
    <row r="1620" spans="1:6" x14ac:dyDescent="0.3">
      <c r="A1620" s="9" t="s">
        <v>32</v>
      </c>
      <c r="B1620" s="9" t="s">
        <v>60</v>
      </c>
      <c r="C1620" s="9" t="s">
        <v>100</v>
      </c>
      <c r="D1620" s="9">
        <v>1</v>
      </c>
      <c r="E1620" s="11" t="s">
        <v>107</v>
      </c>
      <c r="F1620" s="11" t="str">
        <f t="shared" si="25"/>
        <v>No</v>
      </c>
    </row>
    <row r="1621" spans="1:6" x14ac:dyDescent="0.3">
      <c r="A1621" s="9" t="s">
        <v>32</v>
      </c>
      <c r="B1621" s="9" t="s">
        <v>61</v>
      </c>
      <c r="C1621" s="9" t="s">
        <v>100</v>
      </c>
      <c r="D1621" s="9">
        <v>56</v>
      </c>
      <c r="E1621" s="11" t="s">
        <v>107</v>
      </c>
      <c r="F1621" s="11" t="str">
        <f t="shared" si="25"/>
        <v>No</v>
      </c>
    </row>
    <row r="1622" spans="1:6" x14ac:dyDescent="0.3">
      <c r="A1622" s="9" t="s">
        <v>32</v>
      </c>
      <c r="B1622" s="9" t="s">
        <v>78</v>
      </c>
      <c r="C1622" s="9" t="s">
        <v>95</v>
      </c>
      <c r="D1622" s="9">
        <v>4</v>
      </c>
      <c r="E1622" s="11" t="s">
        <v>105</v>
      </c>
      <c r="F1622" s="11" t="str">
        <f t="shared" si="25"/>
        <v>Yes</v>
      </c>
    </row>
    <row r="1623" spans="1:6" x14ac:dyDescent="0.3">
      <c r="A1623" s="9" t="s">
        <v>32</v>
      </c>
      <c r="B1623" s="9" t="s">
        <v>62</v>
      </c>
      <c r="C1623" s="9" t="s">
        <v>101</v>
      </c>
      <c r="D1623" s="9">
        <v>36</v>
      </c>
      <c r="E1623" s="11" t="s">
        <v>106</v>
      </c>
      <c r="F1623" s="11" t="str">
        <f t="shared" si="25"/>
        <v>Yes</v>
      </c>
    </row>
    <row r="1624" spans="1:6" x14ac:dyDescent="0.3">
      <c r="A1624" s="9" t="s">
        <v>32</v>
      </c>
      <c r="B1624" s="9" t="s">
        <v>63</v>
      </c>
      <c r="C1624" s="9" t="s">
        <v>101</v>
      </c>
      <c r="D1624" s="9">
        <v>28</v>
      </c>
      <c r="E1624" s="11" t="s">
        <v>107</v>
      </c>
      <c r="F1624" s="11" t="str">
        <f t="shared" si="25"/>
        <v>No</v>
      </c>
    </row>
    <row r="1625" spans="1:6" x14ac:dyDescent="0.3">
      <c r="A1625" s="9" t="s">
        <v>32</v>
      </c>
      <c r="B1625" s="9" t="s">
        <v>64</v>
      </c>
      <c r="C1625" s="9" t="s">
        <v>101</v>
      </c>
      <c r="D1625" s="9">
        <v>8</v>
      </c>
      <c r="E1625" s="11" t="s">
        <v>107</v>
      </c>
      <c r="F1625" s="11" t="str">
        <f t="shared" si="25"/>
        <v>No</v>
      </c>
    </row>
    <row r="1626" spans="1:6" x14ac:dyDescent="0.3">
      <c r="A1626" s="9" t="s">
        <v>32</v>
      </c>
      <c r="B1626" s="9" t="s">
        <v>77</v>
      </c>
      <c r="C1626" s="9" t="s">
        <v>102</v>
      </c>
      <c r="D1626" s="9">
        <v>1636</v>
      </c>
      <c r="E1626" s="11" t="s">
        <v>106</v>
      </c>
      <c r="F1626" s="11" t="str">
        <f t="shared" si="25"/>
        <v>Yes</v>
      </c>
    </row>
    <row r="1627" spans="1:6" x14ac:dyDescent="0.3">
      <c r="A1627" s="9" t="s">
        <v>32</v>
      </c>
      <c r="B1627" s="9" t="s">
        <v>65</v>
      </c>
      <c r="C1627" s="9" t="s">
        <v>102</v>
      </c>
      <c r="D1627" s="9">
        <v>1052</v>
      </c>
      <c r="E1627" s="11" t="s">
        <v>107</v>
      </c>
      <c r="F1627" s="11" t="str">
        <f t="shared" si="25"/>
        <v>No</v>
      </c>
    </row>
    <row r="1628" spans="1:6" x14ac:dyDescent="0.3">
      <c r="A1628" s="9" t="s">
        <v>32</v>
      </c>
      <c r="B1628" s="9" t="s">
        <v>66</v>
      </c>
      <c r="C1628" s="9" t="s">
        <v>102</v>
      </c>
      <c r="D1628" s="9">
        <v>536</v>
      </c>
      <c r="E1628" s="11" t="s">
        <v>107</v>
      </c>
      <c r="F1628" s="11" t="str">
        <f t="shared" si="25"/>
        <v>No</v>
      </c>
    </row>
    <row r="1629" spans="1:6" x14ac:dyDescent="0.3">
      <c r="A1629" s="9" t="s">
        <v>32</v>
      </c>
      <c r="B1629" s="9" t="s">
        <v>67</v>
      </c>
      <c r="C1629" s="9" t="s">
        <v>102</v>
      </c>
      <c r="D1629" s="9">
        <v>32</v>
      </c>
      <c r="E1629" s="11" t="s">
        <v>107</v>
      </c>
      <c r="F1629" s="11" t="str">
        <f t="shared" si="25"/>
        <v>No</v>
      </c>
    </row>
    <row r="1630" spans="1:6" x14ac:dyDescent="0.3">
      <c r="A1630" s="9" t="s">
        <v>32</v>
      </c>
      <c r="B1630" s="9" t="s">
        <v>68</v>
      </c>
      <c r="C1630" s="9" t="s">
        <v>102</v>
      </c>
      <c r="D1630" s="9">
        <v>4</v>
      </c>
      <c r="E1630" s="11" t="s">
        <v>107</v>
      </c>
      <c r="F1630" s="11" t="str">
        <f t="shared" si="25"/>
        <v>No</v>
      </c>
    </row>
    <row r="1631" spans="1:6" x14ac:dyDescent="0.3">
      <c r="A1631" s="9" t="s">
        <v>32</v>
      </c>
      <c r="B1631" s="9" t="s">
        <v>69</v>
      </c>
      <c r="C1631" s="9" t="s">
        <v>102</v>
      </c>
      <c r="D1631" s="9">
        <v>2</v>
      </c>
      <c r="E1631" s="11" t="s">
        <v>107</v>
      </c>
      <c r="F1631" s="11" t="str">
        <f t="shared" si="25"/>
        <v>No</v>
      </c>
    </row>
    <row r="1632" spans="1:6" x14ac:dyDescent="0.3">
      <c r="A1632" s="9" t="s">
        <v>32</v>
      </c>
      <c r="B1632" s="9" t="s">
        <v>70</v>
      </c>
      <c r="C1632" s="9" t="s">
        <v>102</v>
      </c>
      <c r="D1632" s="9">
        <v>10</v>
      </c>
      <c r="E1632" s="11" t="s">
        <v>107</v>
      </c>
      <c r="F1632" s="11" t="str">
        <f t="shared" si="25"/>
        <v>No</v>
      </c>
    </row>
    <row r="1633" spans="1:6" x14ac:dyDescent="0.3">
      <c r="A1633" s="9" t="s">
        <v>32</v>
      </c>
      <c r="B1633" s="9" t="s">
        <v>75</v>
      </c>
      <c r="C1633" s="9" t="s">
        <v>103</v>
      </c>
      <c r="D1633" s="9">
        <v>0</v>
      </c>
      <c r="E1633" s="11" t="s">
        <v>105</v>
      </c>
      <c r="F1633" s="11" t="str">
        <f t="shared" si="25"/>
        <v>Yes</v>
      </c>
    </row>
    <row r="1634" spans="1:6" x14ac:dyDescent="0.3">
      <c r="A1634" s="9" t="s">
        <v>33</v>
      </c>
      <c r="B1634" s="9" t="s">
        <v>88</v>
      </c>
      <c r="C1634" s="9" t="s">
        <v>92</v>
      </c>
      <c r="D1634" s="9">
        <v>1</v>
      </c>
      <c r="E1634" s="11" t="s">
        <v>105</v>
      </c>
      <c r="F1634" s="11" t="str">
        <f t="shared" si="25"/>
        <v>Yes</v>
      </c>
    </row>
    <row r="1635" spans="1:6" x14ac:dyDescent="0.3">
      <c r="A1635" s="9" t="s">
        <v>33</v>
      </c>
      <c r="B1635" s="9" t="s">
        <v>38</v>
      </c>
      <c r="C1635" s="9" t="s">
        <v>93</v>
      </c>
      <c r="D1635" s="9">
        <v>9</v>
      </c>
      <c r="E1635" s="11" t="s">
        <v>105</v>
      </c>
      <c r="F1635" s="11" t="str">
        <f t="shared" si="25"/>
        <v>Yes</v>
      </c>
    </row>
    <row r="1636" spans="1:6" x14ac:dyDescent="0.3">
      <c r="A1636" s="9" t="s">
        <v>33</v>
      </c>
      <c r="B1636" s="9" t="s">
        <v>87</v>
      </c>
      <c r="C1636" s="9" t="s">
        <v>94</v>
      </c>
      <c r="D1636" s="9">
        <v>31</v>
      </c>
      <c r="E1636" s="11" t="s">
        <v>105</v>
      </c>
      <c r="F1636" s="11" t="str">
        <f t="shared" si="25"/>
        <v>Yes</v>
      </c>
    </row>
    <row r="1637" spans="1:6" x14ac:dyDescent="0.3">
      <c r="A1637" s="9" t="s">
        <v>33</v>
      </c>
      <c r="B1637" s="9" t="s">
        <v>86</v>
      </c>
      <c r="C1637" s="9" t="s">
        <v>86</v>
      </c>
      <c r="D1637" s="9">
        <v>4</v>
      </c>
      <c r="E1637" s="11" t="s">
        <v>105</v>
      </c>
      <c r="F1637" s="11" t="str">
        <f t="shared" si="25"/>
        <v>Yes</v>
      </c>
    </row>
    <row r="1638" spans="1:6" x14ac:dyDescent="0.3">
      <c r="A1638" s="9" t="s">
        <v>33</v>
      </c>
      <c r="B1638" s="9" t="s">
        <v>85</v>
      </c>
      <c r="C1638" s="9" t="s">
        <v>85</v>
      </c>
      <c r="D1638" s="9">
        <v>0</v>
      </c>
      <c r="E1638" s="11" t="s">
        <v>105</v>
      </c>
      <c r="F1638" s="11" t="str">
        <f t="shared" si="25"/>
        <v>Yes</v>
      </c>
    </row>
    <row r="1639" spans="1:6" x14ac:dyDescent="0.3">
      <c r="A1639" s="9" t="s">
        <v>33</v>
      </c>
      <c r="B1639" s="9" t="s">
        <v>84</v>
      </c>
      <c r="C1639" s="9" t="s">
        <v>85</v>
      </c>
      <c r="D1639" s="9">
        <v>0</v>
      </c>
      <c r="E1639" s="11" t="s">
        <v>105</v>
      </c>
      <c r="F1639" s="11" t="str">
        <f t="shared" si="25"/>
        <v>Yes</v>
      </c>
    </row>
    <row r="1640" spans="1:6" x14ac:dyDescent="0.3">
      <c r="A1640" s="9" t="s">
        <v>33</v>
      </c>
      <c r="B1640" s="9" t="s">
        <v>83</v>
      </c>
      <c r="C1640" s="9" t="s">
        <v>95</v>
      </c>
      <c r="D1640" s="9">
        <v>524</v>
      </c>
      <c r="E1640" s="11" t="s">
        <v>105</v>
      </c>
      <c r="F1640" s="11" t="str">
        <f t="shared" si="25"/>
        <v>Yes</v>
      </c>
    </row>
    <row r="1641" spans="1:6" x14ac:dyDescent="0.3">
      <c r="A1641" s="9" t="s">
        <v>33</v>
      </c>
      <c r="B1641" s="9" t="s">
        <v>39</v>
      </c>
      <c r="C1641" s="9" t="s">
        <v>40</v>
      </c>
      <c r="D1641" s="9">
        <v>895</v>
      </c>
      <c r="E1641" s="11" t="s">
        <v>106</v>
      </c>
      <c r="F1641" s="11" t="str">
        <f t="shared" si="25"/>
        <v>Yes</v>
      </c>
    </row>
    <row r="1642" spans="1:6" x14ac:dyDescent="0.3">
      <c r="A1642" s="9" t="s">
        <v>33</v>
      </c>
      <c r="B1642" s="9" t="s">
        <v>40</v>
      </c>
      <c r="C1642" s="9" t="s">
        <v>40</v>
      </c>
      <c r="D1642" s="9">
        <v>351</v>
      </c>
      <c r="E1642" s="11" t="s">
        <v>107</v>
      </c>
      <c r="F1642" s="11" t="str">
        <f t="shared" si="25"/>
        <v>No</v>
      </c>
    </row>
    <row r="1643" spans="1:6" x14ac:dyDescent="0.3">
      <c r="A1643" s="9" t="s">
        <v>33</v>
      </c>
      <c r="B1643" s="9" t="s">
        <v>41</v>
      </c>
      <c r="C1643" s="9" t="s">
        <v>40</v>
      </c>
      <c r="D1643" s="9">
        <v>2</v>
      </c>
      <c r="E1643" s="11" t="s">
        <v>107</v>
      </c>
      <c r="F1643" s="11" t="str">
        <f t="shared" si="25"/>
        <v>No</v>
      </c>
    </row>
    <row r="1644" spans="1:6" x14ac:dyDescent="0.3">
      <c r="A1644" s="9" t="s">
        <v>33</v>
      </c>
      <c r="B1644" s="9" t="s">
        <v>42</v>
      </c>
      <c r="C1644" s="9" t="s">
        <v>40</v>
      </c>
      <c r="D1644" s="9">
        <v>0</v>
      </c>
      <c r="E1644" s="11" t="s">
        <v>107</v>
      </c>
      <c r="F1644" s="11" t="str">
        <f t="shared" si="25"/>
        <v>No</v>
      </c>
    </row>
    <row r="1645" spans="1:6" x14ac:dyDescent="0.3">
      <c r="A1645" s="9" t="s">
        <v>33</v>
      </c>
      <c r="B1645" s="9" t="s">
        <v>43</v>
      </c>
      <c r="C1645" s="9" t="s">
        <v>40</v>
      </c>
      <c r="D1645" s="9">
        <v>426</v>
      </c>
      <c r="E1645" s="11" t="s">
        <v>106</v>
      </c>
      <c r="F1645" s="11" t="str">
        <f t="shared" si="25"/>
        <v>No</v>
      </c>
    </row>
    <row r="1646" spans="1:6" x14ac:dyDescent="0.3">
      <c r="A1646" s="9" t="s">
        <v>33</v>
      </c>
      <c r="B1646" s="9" t="s">
        <v>44</v>
      </c>
      <c r="C1646" s="9" t="s">
        <v>40</v>
      </c>
      <c r="D1646" s="9">
        <v>416</v>
      </c>
      <c r="E1646" s="11" t="s">
        <v>107</v>
      </c>
      <c r="F1646" s="11" t="str">
        <f t="shared" si="25"/>
        <v>No</v>
      </c>
    </row>
    <row r="1647" spans="1:6" x14ac:dyDescent="0.3">
      <c r="A1647" s="9" t="s">
        <v>33</v>
      </c>
      <c r="B1647" s="9" t="s">
        <v>45</v>
      </c>
      <c r="C1647" s="9" t="s">
        <v>40</v>
      </c>
      <c r="D1647" s="9">
        <v>10</v>
      </c>
      <c r="E1647" s="11" t="s">
        <v>107</v>
      </c>
      <c r="F1647" s="11" t="str">
        <f t="shared" si="25"/>
        <v>No</v>
      </c>
    </row>
    <row r="1648" spans="1:6" x14ac:dyDescent="0.3">
      <c r="A1648" s="9" t="s">
        <v>33</v>
      </c>
      <c r="B1648" s="9" t="s">
        <v>71</v>
      </c>
      <c r="C1648" s="9" t="s">
        <v>40</v>
      </c>
      <c r="D1648" s="9">
        <v>0</v>
      </c>
      <c r="E1648" s="11" t="s">
        <v>105</v>
      </c>
      <c r="F1648" s="11" t="str">
        <f t="shared" si="25"/>
        <v>Yes</v>
      </c>
    </row>
    <row r="1649" spans="1:6" x14ac:dyDescent="0.3">
      <c r="A1649" s="9" t="s">
        <v>33</v>
      </c>
      <c r="B1649" s="9" t="s">
        <v>72</v>
      </c>
      <c r="C1649" s="9" t="s">
        <v>40</v>
      </c>
      <c r="D1649" s="9">
        <v>0</v>
      </c>
      <c r="E1649" s="11" t="s">
        <v>105</v>
      </c>
      <c r="F1649" s="11" t="str">
        <f t="shared" si="25"/>
        <v>Yes</v>
      </c>
    </row>
    <row r="1650" spans="1:6" x14ac:dyDescent="0.3">
      <c r="A1650" s="9" t="s">
        <v>33</v>
      </c>
      <c r="B1650" s="9" t="s">
        <v>82</v>
      </c>
      <c r="C1650" s="9" t="s">
        <v>40</v>
      </c>
      <c r="D1650" s="9">
        <v>116</v>
      </c>
      <c r="E1650" s="11" t="s">
        <v>105</v>
      </c>
      <c r="F1650" s="11" t="str">
        <f t="shared" si="25"/>
        <v>Yes</v>
      </c>
    </row>
    <row r="1651" spans="1:6" x14ac:dyDescent="0.3">
      <c r="A1651" s="9" t="s">
        <v>33</v>
      </c>
      <c r="B1651" s="9" t="s">
        <v>81</v>
      </c>
      <c r="C1651" s="9" t="s">
        <v>81</v>
      </c>
      <c r="D1651" s="9">
        <v>7</v>
      </c>
      <c r="E1651" s="11" t="s">
        <v>105</v>
      </c>
      <c r="F1651" s="11" t="str">
        <f t="shared" si="25"/>
        <v>Yes</v>
      </c>
    </row>
    <row r="1652" spans="1:6" x14ac:dyDescent="0.3">
      <c r="A1652" s="9" t="s">
        <v>33</v>
      </c>
      <c r="B1652" s="9" t="s">
        <v>73</v>
      </c>
      <c r="C1652" s="9" t="s">
        <v>81</v>
      </c>
      <c r="D1652" s="9">
        <v>0</v>
      </c>
      <c r="E1652" s="11" t="s">
        <v>105</v>
      </c>
      <c r="F1652" s="11" t="str">
        <f t="shared" si="25"/>
        <v>Yes</v>
      </c>
    </row>
    <row r="1653" spans="1:6" x14ac:dyDescent="0.3">
      <c r="A1653" s="9" t="s">
        <v>33</v>
      </c>
      <c r="B1653" s="9" t="s">
        <v>80</v>
      </c>
      <c r="C1653" s="9" t="s">
        <v>81</v>
      </c>
      <c r="D1653" s="9">
        <v>0</v>
      </c>
      <c r="E1653" s="11" t="s">
        <v>105</v>
      </c>
      <c r="F1653" s="11" t="str">
        <f t="shared" si="25"/>
        <v>Yes</v>
      </c>
    </row>
    <row r="1654" spans="1:6" x14ac:dyDescent="0.3">
      <c r="A1654" s="9" t="s">
        <v>33</v>
      </c>
      <c r="B1654" s="9" t="s">
        <v>79</v>
      </c>
      <c r="C1654" s="9" t="s">
        <v>96</v>
      </c>
      <c r="D1654" s="9">
        <v>231</v>
      </c>
      <c r="E1654" s="11" t="s">
        <v>106</v>
      </c>
      <c r="F1654" s="11" t="str">
        <f t="shared" si="25"/>
        <v>Yes</v>
      </c>
    </row>
    <row r="1655" spans="1:6" x14ac:dyDescent="0.3">
      <c r="A1655" s="9" t="s">
        <v>33</v>
      </c>
      <c r="B1655" s="9" t="s">
        <v>46</v>
      </c>
      <c r="C1655" s="9" t="s">
        <v>96</v>
      </c>
      <c r="D1655" s="9">
        <v>230</v>
      </c>
      <c r="E1655" s="11" t="s">
        <v>107</v>
      </c>
      <c r="F1655" s="11" t="str">
        <f t="shared" si="25"/>
        <v>No</v>
      </c>
    </row>
    <row r="1656" spans="1:6" x14ac:dyDescent="0.3">
      <c r="A1656" s="9" t="s">
        <v>33</v>
      </c>
      <c r="B1656" s="9" t="s">
        <v>47</v>
      </c>
      <c r="C1656" s="9" t="s">
        <v>96</v>
      </c>
      <c r="D1656" s="9">
        <v>1</v>
      </c>
      <c r="E1656" s="11" t="s">
        <v>107</v>
      </c>
      <c r="F1656" s="11" t="str">
        <f t="shared" si="25"/>
        <v>No</v>
      </c>
    </row>
    <row r="1657" spans="1:6" x14ac:dyDescent="0.3">
      <c r="A1657" s="9" t="s">
        <v>33</v>
      </c>
      <c r="B1657" s="9" t="s">
        <v>48</v>
      </c>
      <c r="C1657" s="9" t="s">
        <v>97</v>
      </c>
      <c r="D1657" s="9">
        <v>2</v>
      </c>
      <c r="E1657" s="11" t="s">
        <v>106</v>
      </c>
      <c r="F1657" s="11" t="str">
        <f t="shared" si="25"/>
        <v>Yes</v>
      </c>
    </row>
    <row r="1658" spans="1:6" x14ac:dyDescent="0.3">
      <c r="A1658" s="9" t="s">
        <v>33</v>
      </c>
      <c r="B1658" s="9" t="s">
        <v>49</v>
      </c>
      <c r="C1658" s="9" t="s">
        <v>97</v>
      </c>
      <c r="D1658" s="9">
        <v>2</v>
      </c>
      <c r="E1658" s="11" t="s">
        <v>107</v>
      </c>
      <c r="F1658" s="11" t="str">
        <f t="shared" si="25"/>
        <v>No</v>
      </c>
    </row>
    <row r="1659" spans="1:6" x14ac:dyDescent="0.3">
      <c r="A1659" s="9" t="s">
        <v>33</v>
      </c>
      <c r="B1659" s="9" t="s">
        <v>50</v>
      </c>
      <c r="C1659" s="9" t="s">
        <v>97</v>
      </c>
      <c r="D1659" s="9">
        <v>0</v>
      </c>
      <c r="E1659" s="11" t="s">
        <v>107</v>
      </c>
      <c r="F1659" s="11" t="str">
        <f t="shared" si="25"/>
        <v>No</v>
      </c>
    </row>
    <row r="1660" spans="1:6" x14ac:dyDescent="0.3">
      <c r="A1660" s="9" t="s">
        <v>33</v>
      </c>
      <c r="B1660" s="9" t="s">
        <v>51</v>
      </c>
      <c r="C1660" s="9" t="s">
        <v>99</v>
      </c>
      <c r="D1660" s="9">
        <v>1542</v>
      </c>
      <c r="E1660" s="11" t="s">
        <v>106</v>
      </c>
      <c r="F1660" s="11" t="str">
        <f t="shared" si="25"/>
        <v>Yes</v>
      </c>
    </row>
    <row r="1661" spans="1:6" x14ac:dyDescent="0.3">
      <c r="A1661" s="9" t="s">
        <v>33</v>
      </c>
      <c r="B1661" s="9" t="s">
        <v>52</v>
      </c>
      <c r="C1661" s="9" t="s">
        <v>99</v>
      </c>
      <c r="D1661" s="9">
        <v>1541</v>
      </c>
      <c r="E1661" s="11" t="s">
        <v>107</v>
      </c>
      <c r="F1661" s="11" t="str">
        <f t="shared" si="25"/>
        <v>No</v>
      </c>
    </row>
    <row r="1662" spans="1:6" x14ac:dyDescent="0.3">
      <c r="A1662" s="9" t="s">
        <v>33</v>
      </c>
      <c r="B1662" s="9" t="s">
        <v>53</v>
      </c>
      <c r="C1662" s="9" t="s">
        <v>99</v>
      </c>
      <c r="D1662" s="9">
        <v>1</v>
      </c>
      <c r="E1662" s="11" t="s">
        <v>107</v>
      </c>
      <c r="F1662" s="11" t="str">
        <f t="shared" si="25"/>
        <v>No</v>
      </c>
    </row>
    <row r="1663" spans="1:6" x14ac:dyDescent="0.3">
      <c r="A1663" s="9" t="s">
        <v>33</v>
      </c>
      <c r="B1663" s="9" t="s">
        <v>54</v>
      </c>
      <c r="C1663" s="9" t="s">
        <v>98</v>
      </c>
      <c r="D1663" s="9">
        <v>21</v>
      </c>
      <c r="E1663" s="11" t="s">
        <v>106</v>
      </c>
      <c r="F1663" s="11" t="str">
        <f t="shared" si="25"/>
        <v>Yes</v>
      </c>
    </row>
    <row r="1664" spans="1:6" x14ac:dyDescent="0.3">
      <c r="A1664" s="9" t="s">
        <v>33</v>
      </c>
      <c r="B1664" s="9" t="s">
        <v>55</v>
      </c>
      <c r="C1664" s="9" t="s">
        <v>98</v>
      </c>
      <c r="D1664" s="9">
        <v>21</v>
      </c>
      <c r="E1664" s="11" t="s">
        <v>107</v>
      </c>
      <c r="F1664" s="11" t="str">
        <f t="shared" si="25"/>
        <v>No</v>
      </c>
    </row>
    <row r="1665" spans="1:6" x14ac:dyDescent="0.3">
      <c r="A1665" s="9" t="s">
        <v>33</v>
      </c>
      <c r="B1665" s="9" t="s">
        <v>56</v>
      </c>
      <c r="C1665" s="9" t="s">
        <v>98</v>
      </c>
      <c r="D1665" s="9">
        <v>0</v>
      </c>
      <c r="E1665" s="11" t="s">
        <v>107</v>
      </c>
      <c r="F1665" s="11" t="str">
        <f t="shared" si="25"/>
        <v>No</v>
      </c>
    </row>
    <row r="1666" spans="1:6" x14ac:dyDescent="0.3">
      <c r="A1666" s="9" t="s">
        <v>33</v>
      </c>
      <c r="B1666" s="9" t="s">
        <v>74</v>
      </c>
      <c r="C1666" s="9" t="s">
        <v>74</v>
      </c>
      <c r="D1666" s="9">
        <v>15</v>
      </c>
      <c r="E1666" s="11" t="s">
        <v>105</v>
      </c>
      <c r="F1666" s="11" t="str">
        <f t="shared" ref="F1666:F1729" si="26">IF(E1666="Standalone","Yes",IF(AND(E1666="Total",OR(B1666="Kidnapping &amp; Abduction (Total)",B1666="Rape (Total)",B1666="Attempt to Rape (Total)",B1666="Assault to Outrage Modesty (Total)",B1666="Insult to Modesty (Total)",B1666="Immoral Traffic (Prevention) Act (Total)",B1666="Women-Centric Cyber Crime (Total)",B1666="POCSO (Protection of Children from Sexual Offences Act) (Total)")),"Yes","No"))</f>
        <v>Yes</v>
      </c>
    </row>
    <row r="1667" spans="1:6" x14ac:dyDescent="0.3">
      <c r="A1667" s="9" t="s">
        <v>33</v>
      </c>
      <c r="B1667" s="9" t="s">
        <v>57</v>
      </c>
      <c r="C1667" s="9" t="s">
        <v>100</v>
      </c>
      <c r="D1667" s="9">
        <v>8</v>
      </c>
      <c r="E1667" s="11" t="s">
        <v>106</v>
      </c>
      <c r="F1667" s="11" t="str">
        <f t="shared" si="26"/>
        <v>Yes</v>
      </c>
    </row>
    <row r="1668" spans="1:6" x14ac:dyDescent="0.3">
      <c r="A1668" s="9" t="s">
        <v>33</v>
      </c>
      <c r="B1668" s="9" t="s">
        <v>76</v>
      </c>
      <c r="C1668" s="9" t="s">
        <v>100</v>
      </c>
      <c r="D1668" s="9">
        <v>0</v>
      </c>
      <c r="E1668" s="11" t="s">
        <v>107</v>
      </c>
      <c r="F1668" s="11" t="str">
        <f t="shared" si="26"/>
        <v>No</v>
      </c>
    </row>
    <row r="1669" spans="1:6" x14ac:dyDescent="0.3">
      <c r="A1669" s="9" t="s">
        <v>33</v>
      </c>
      <c r="B1669" s="9" t="s">
        <v>58</v>
      </c>
      <c r="C1669" s="9" t="s">
        <v>100</v>
      </c>
      <c r="D1669" s="9">
        <v>0</v>
      </c>
      <c r="E1669" s="11" t="s">
        <v>107</v>
      </c>
      <c r="F1669" s="11" t="str">
        <f t="shared" si="26"/>
        <v>No</v>
      </c>
    </row>
    <row r="1670" spans="1:6" x14ac:dyDescent="0.3">
      <c r="A1670" s="9" t="s">
        <v>33</v>
      </c>
      <c r="B1670" s="9" t="s">
        <v>59</v>
      </c>
      <c r="C1670" s="9" t="s">
        <v>100</v>
      </c>
      <c r="D1670" s="9">
        <v>0</v>
      </c>
      <c r="E1670" s="11" t="s">
        <v>107</v>
      </c>
      <c r="F1670" s="11" t="str">
        <f t="shared" si="26"/>
        <v>No</v>
      </c>
    </row>
    <row r="1671" spans="1:6" x14ac:dyDescent="0.3">
      <c r="A1671" s="9" t="s">
        <v>33</v>
      </c>
      <c r="B1671" s="9" t="s">
        <v>60</v>
      </c>
      <c r="C1671" s="9" t="s">
        <v>100</v>
      </c>
      <c r="D1671" s="9">
        <v>0</v>
      </c>
      <c r="E1671" s="11" t="s">
        <v>107</v>
      </c>
      <c r="F1671" s="11" t="str">
        <f t="shared" si="26"/>
        <v>No</v>
      </c>
    </row>
    <row r="1672" spans="1:6" x14ac:dyDescent="0.3">
      <c r="A1672" s="9" t="s">
        <v>33</v>
      </c>
      <c r="B1672" s="9" t="s">
        <v>61</v>
      </c>
      <c r="C1672" s="9" t="s">
        <v>100</v>
      </c>
      <c r="D1672" s="9">
        <v>8</v>
      </c>
      <c r="E1672" s="11" t="s">
        <v>107</v>
      </c>
      <c r="F1672" s="11" t="str">
        <f t="shared" si="26"/>
        <v>No</v>
      </c>
    </row>
    <row r="1673" spans="1:6" x14ac:dyDescent="0.3">
      <c r="A1673" s="9" t="s">
        <v>33</v>
      </c>
      <c r="B1673" s="9" t="s">
        <v>78</v>
      </c>
      <c r="C1673" s="9" t="s">
        <v>95</v>
      </c>
      <c r="D1673" s="9">
        <v>0</v>
      </c>
      <c r="E1673" s="11" t="s">
        <v>105</v>
      </c>
      <c r="F1673" s="11" t="str">
        <f t="shared" si="26"/>
        <v>Yes</v>
      </c>
    </row>
    <row r="1674" spans="1:6" x14ac:dyDescent="0.3">
      <c r="A1674" s="9" t="s">
        <v>33</v>
      </c>
      <c r="B1674" s="9" t="s">
        <v>62</v>
      </c>
      <c r="C1674" s="9" t="s">
        <v>101</v>
      </c>
      <c r="D1674" s="9">
        <v>43</v>
      </c>
      <c r="E1674" s="11" t="s">
        <v>106</v>
      </c>
      <c r="F1674" s="11" t="str">
        <f t="shared" si="26"/>
        <v>Yes</v>
      </c>
    </row>
    <row r="1675" spans="1:6" x14ac:dyDescent="0.3">
      <c r="A1675" s="9" t="s">
        <v>33</v>
      </c>
      <c r="B1675" s="9" t="s">
        <v>63</v>
      </c>
      <c r="C1675" s="9" t="s">
        <v>101</v>
      </c>
      <c r="D1675" s="9">
        <v>39</v>
      </c>
      <c r="E1675" s="11" t="s">
        <v>107</v>
      </c>
      <c r="F1675" s="11" t="str">
        <f t="shared" si="26"/>
        <v>No</v>
      </c>
    </row>
    <row r="1676" spans="1:6" x14ac:dyDescent="0.3">
      <c r="A1676" s="9" t="s">
        <v>33</v>
      </c>
      <c r="B1676" s="9" t="s">
        <v>64</v>
      </c>
      <c r="C1676" s="9" t="s">
        <v>101</v>
      </c>
      <c r="D1676" s="9">
        <v>4</v>
      </c>
      <c r="E1676" s="11" t="s">
        <v>107</v>
      </c>
      <c r="F1676" s="11" t="str">
        <f t="shared" si="26"/>
        <v>No</v>
      </c>
    </row>
    <row r="1677" spans="1:6" x14ac:dyDescent="0.3">
      <c r="A1677" s="9" t="s">
        <v>33</v>
      </c>
      <c r="B1677" s="9" t="s">
        <v>77</v>
      </c>
      <c r="C1677" s="9" t="s">
        <v>102</v>
      </c>
      <c r="D1677" s="9">
        <v>320</v>
      </c>
      <c r="E1677" s="11" t="s">
        <v>106</v>
      </c>
      <c r="F1677" s="11" t="str">
        <f t="shared" si="26"/>
        <v>Yes</v>
      </c>
    </row>
    <row r="1678" spans="1:6" x14ac:dyDescent="0.3">
      <c r="A1678" s="9" t="s">
        <v>33</v>
      </c>
      <c r="B1678" s="9" t="s">
        <v>65</v>
      </c>
      <c r="C1678" s="9" t="s">
        <v>102</v>
      </c>
      <c r="D1678" s="9">
        <v>214</v>
      </c>
      <c r="E1678" s="11" t="s">
        <v>107</v>
      </c>
      <c r="F1678" s="11" t="str">
        <f t="shared" si="26"/>
        <v>No</v>
      </c>
    </row>
    <row r="1679" spans="1:6" x14ac:dyDescent="0.3">
      <c r="A1679" s="9" t="s">
        <v>33</v>
      </c>
      <c r="B1679" s="9" t="s">
        <v>66</v>
      </c>
      <c r="C1679" s="9" t="s">
        <v>102</v>
      </c>
      <c r="D1679" s="9">
        <v>76</v>
      </c>
      <c r="E1679" s="11" t="s">
        <v>107</v>
      </c>
      <c r="F1679" s="11" t="str">
        <f t="shared" si="26"/>
        <v>No</v>
      </c>
    </row>
    <row r="1680" spans="1:6" x14ac:dyDescent="0.3">
      <c r="A1680" s="9" t="s">
        <v>33</v>
      </c>
      <c r="B1680" s="9" t="s">
        <v>67</v>
      </c>
      <c r="C1680" s="9" t="s">
        <v>102</v>
      </c>
      <c r="D1680" s="9">
        <v>13</v>
      </c>
      <c r="E1680" s="11" t="s">
        <v>107</v>
      </c>
      <c r="F1680" s="11" t="str">
        <f t="shared" si="26"/>
        <v>No</v>
      </c>
    </row>
    <row r="1681" spans="1:6" x14ac:dyDescent="0.3">
      <c r="A1681" s="9" t="s">
        <v>33</v>
      </c>
      <c r="B1681" s="9" t="s">
        <v>68</v>
      </c>
      <c r="C1681" s="9" t="s">
        <v>102</v>
      </c>
      <c r="D1681" s="9">
        <v>17</v>
      </c>
      <c r="E1681" s="11" t="s">
        <v>107</v>
      </c>
      <c r="F1681" s="11" t="str">
        <f t="shared" si="26"/>
        <v>No</v>
      </c>
    </row>
    <row r="1682" spans="1:6" x14ac:dyDescent="0.3">
      <c r="A1682" s="9" t="s">
        <v>33</v>
      </c>
      <c r="B1682" s="9" t="s">
        <v>69</v>
      </c>
      <c r="C1682" s="9" t="s">
        <v>102</v>
      </c>
      <c r="D1682" s="9">
        <v>0</v>
      </c>
      <c r="E1682" s="11" t="s">
        <v>107</v>
      </c>
      <c r="F1682" s="11" t="str">
        <f t="shared" si="26"/>
        <v>No</v>
      </c>
    </row>
    <row r="1683" spans="1:6" x14ac:dyDescent="0.3">
      <c r="A1683" s="9" t="s">
        <v>33</v>
      </c>
      <c r="B1683" s="9" t="s">
        <v>70</v>
      </c>
      <c r="C1683" s="9" t="s">
        <v>102</v>
      </c>
      <c r="D1683" s="9">
        <v>0</v>
      </c>
      <c r="E1683" s="11" t="s">
        <v>107</v>
      </c>
      <c r="F1683" s="11" t="str">
        <f t="shared" si="26"/>
        <v>No</v>
      </c>
    </row>
    <row r="1684" spans="1:6" x14ac:dyDescent="0.3">
      <c r="A1684" s="9" t="s">
        <v>33</v>
      </c>
      <c r="B1684" s="9" t="s">
        <v>75</v>
      </c>
      <c r="C1684" s="9" t="s">
        <v>103</v>
      </c>
      <c r="D1684" s="9">
        <v>0</v>
      </c>
      <c r="E1684" s="11" t="s">
        <v>105</v>
      </c>
      <c r="F1684" s="11" t="str">
        <f t="shared" si="26"/>
        <v>Yes</v>
      </c>
    </row>
    <row r="1685" spans="1:6" x14ac:dyDescent="0.3">
      <c r="A1685" s="9" t="s">
        <v>34</v>
      </c>
      <c r="B1685" s="9" t="s">
        <v>88</v>
      </c>
      <c r="C1685" s="9" t="s">
        <v>92</v>
      </c>
      <c r="D1685" s="9">
        <v>0</v>
      </c>
      <c r="E1685" s="11" t="s">
        <v>105</v>
      </c>
      <c r="F1685" s="11" t="str">
        <f t="shared" si="26"/>
        <v>Yes</v>
      </c>
    </row>
    <row r="1686" spans="1:6" x14ac:dyDescent="0.3">
      <c r="A1686" s="9" t="s">
        <v>34</v>
      </c>
      <c r="B1686" s="9" t="s">
        <v>38</v>
      </c>
      <c r="C1686" s="9" t="s">
        <v>93</v>
      </c>
      <c r="D1686" s="9">
        <v>0</v>
      </c>
      <c r="E1686" s="11" t="s">
        <v>105</v>
      </c>
      <c r="F1686" s="11" t="str">
        <f t="shared" si="26"/>
        <v>Yes</v>
      </c>
    </row>
    <row r="1687" spans="1:6" x14ac:dyDescent="0.3">
      <c r="A1687" s="9" t="s">
        <v>34</v>
      </c>
      <c r="B1687" s="9" t="s">
        <v>87</v>
      </c>
      <c r="C1687" s="9" t="s">
        <v>94</v>
      </c>
      <c r="D1687" s="9">
        <v>0</v>
      </c>
      <c r="E1687" s="11" t="s">
        <v>105</v>
      </c>
      <c r="F1687" s="11" t="str">
        <f t="shared" si="26"/>
        <v>Yes</v>
      </c>
    </row>
    <row r="1688" spans="1:6" x14ac:dyDescent="0.3">
      <c r="A1688" s="9" t="s">
        <v>34</v>
      </c>
      <c r="B1688" s="9" t="s">
        <v>86</v>
      </c>
      <c r="C1688" s="9" t="s">
        <v>86</v>
      </c>
      <c r="D1688" s="9">
        <v>0</v>
      </c>
      <c r="E1688" s="11" t="s">
        <v>105</v>
      </c>
      <c r="F1688" s="11" t="str">
        <f t="shared" si="26"/>
        <v>Yes</v>
      </c>
    </row>
    <row r="1689" spans="1:6" x14ac:dyDescent="0.3">
      <c r="A1689" s="9" t="s">
        <v>34</v>
      </c>
      <c r="B1689" s="9" t="s">
        <v>85</v>
      </c>
      <c r="C1689" s="9" t="s">
        <v>85</v>
      </c>
      <c r="D1689" s="9">
        <v>0</v>
      </c>
      <c r="E1689" s="11" t="s">
        <v>105</v>
      </c>
      <c r="F1689" s="11" t="str">
        <f t="shared" si="26"/>
        <v>Yes</v>
      </c>
    </row>
    <row r="1690" spans="1:6" x14ac:dyDescent="0.3">
      <c r="A1690" s="9" t="s">
        <v>34</v>
      </c>
      <c r="B1690" s="9" t="s">
        <v>84</v>
      </c>
      <c r="C1690" s="9" t="s">
        <v>85</v>
      </c>
      <c r="D1690" s="9">
        <v>0</v>
      </c>
      <c r="E1690" s="11" t="s">
        <v>105</v>
      </c>
      <c r="F1690" s="11" t="str">
        <f t="shared" si="26"/>
        <v>Yes</v>
      </c>
    </row>
    <row r="1691" spans="1:6" x14ac:dyDescent="0.3">
      <c r="A1691" s="9" t="s">
        <v>34</v>
      </c>
      <c r="B1691" s="9" t="s">
        <v>83</v>
      </c>
      <c r="C1691" s="9" t="s">
        <v>95</v>
      </c>
      <c r="D1691" s="9">
        <v>6</v>
      </c>
      <c r="E1691" s="11" t="s">
        <v>105</v>
      </c>
      <c r="F1691" s="11" t="str">
        <f t="shared" si="26"/>
        <v>Yes</v>
      </c>
    </row>
    <row r="1692" spans="1:6" x14ac:dyDescent="0.3">
      <c r="A1692" s="9" t="s">
        <v>34</v>
      </c>
      <c r="B1692" s="9" t="s">
        <v>39</v>
      </c>
      <c r="C1692" s="9" t="s">
        <v>40</v>
      </c>
      <c r="D1692" s="9">
        <v>3</v>
      </c>
      <c r="E1692" s="11" t="s">
        <v>106</v>
      </c>
      <c r="F1692" s="11" t="str">
        <f t="shared" si="26"/>
        <v>Yes</v>
      </c>
    </row>
    <row r="1693" spans="1:6" x14ac:dyDescent="0.3">
      <c r="A1693" s="9" t="s">
        <v>34</v>
      </c>
      <c r="B1693" s="9" t="s">
        <v>40</v>
      </c>
      <c r="C1693" s="9" t="s">
        <v>40</v>
      </c>
      <c r="D1693" s="9">
        <v>3</v>
      </c>
      <c r="E1693" s="11" t="s">
        <v>107</v>
      </c>
      <c r="F1693" s="11" t="str">
        <f t="shared" si="26"/>
        <v>No</v>
      </c>
    </row>
    <row r="1694" spans="1:6" x14ac:dyDescent="0.3">
      <c r="A1694" s="9" t="s">
        <v>34</v>
      </c>
      <c r="B1694" s="9" t="s">
        <v>41</v>
      </c>
      <c r="C1694" s="9" t="s">
        <v>40</v>
      </c>
      <c r="D1694" s="9">
        <v>0</v>
      </c>
      <c r="E1694" s="11" t="s">
        <v>107</v>
      </c>
      <c r="F1694" s="11" t="str">
        <f t="shared" si="26"/>
        <v>No</v>
      </c>
    </row>
    <row r="1695" spans="1:6" x14ac:dyDescent="0.3">
      <c r="A1695" s="9" t="s">
        <v>34</v>
      </c>
      <c r="B1695" s="9" t="s">
        <v>42</v>
      </c>
      <c r="C1695" s="9" t="s">
        <v>40</v>
      </c>
      <c r="D1695" s="9">
        <v>0</v>
      </c>
      <c r="E1695" s="11" t="s">
        <v>107</v>
      </c>
      <c r="F1695" s="11" t="str">
        <f t="shared" si="26"/>
        <v>No</v>
      </c>
    </row>
    <row r="1696" spans="1:6" x14ac:dyDescent="0.3">
      <c r="A1696" s="9" t="s">
        <v>34</v>
      </c>
      <c r="B1696" s="9" t="s">
        <v>43</v>
      </c>
      <c r="C1696" s="9" t="s">
        <v>40</v>
      </c>
      <c r="D1696" s="9">
        <v>0</v>
      </c>
      <c r="E1696" s="11" t="s">
        <v>106</v>
      </c>
      <c r="F1696" s="11" t="str">
        <f t="shared" si="26"/>
        <v>No</v>
      </c>
    </row>
    <row r="1697" spans="1:6" x14ac:dyDescent="0.3">
      <c r="A1697" s="9" t="s">
        <v>34</v>
      </c>
      <c r="B1697" s="9" t="s">
        <v>44</v>
      </c>
      <c r="C1697" s="9" t="s">
        <v>40</v>
      </c>
      <c r="D1697" s="9">
        <v>0</v>
      </c>
      <c r="E1697" s="11" t="s">
        <v>107</v>
      </c>
      <c r="F1697" s="11" t="str">
        <f t="shared" si="26"/>
        <v>No</v>
      </c>
    </row>
    <row r="1698" spans="1:6" x14ac:dyDescent="0.3">
      <c r="A1698" s="9" t="s">
        <v>34</v>
      </c>
      <c r="B1698" s="9" t="s">
        <v>45</v>
      </c>
      <c r="C1698" s="9" t="s">
        <v>40</v>
      </c>
      <c r="D1698" s="9">
        <v>0</v>
      </c>
      <c r="E1698" s="11" t="s">
        <v>107</v>
      </c>
      <c r="F1698" s="11" t="str">
        <f t="shared" si="26"/>
        <v>No</v>
      </c>
    </row>
    <row r="1699" spans="1:6" x14ac:dyDescent="0.3">
      <c r="A1699" s="9" t="s">
        <v>34</v>
      </c>
      <c r="B1699" s="9" t="s">
        <v>71</v>
      </c>
      <c r="C1699" s="9" t="s">
        <v>40</v>
      </c>
      <c r="D1699" s="9">
        <v>0</v>
      </c>
      <c r="E1699" s="11" t="s">
        <v>105</v>
      </c>
      <c r="F1699" s="11" t="str">
        <f t="shared" si="26"/>
        <v>Yes</v>
      </c>
    </row>
    <row r="1700" spans="1:6" x14ac:dyDescent="0.3">
      <c r="A1700" s="9" t="s">
        <v>34</v>
      </c>
      <c r="B1700" s="9" t="s">
        <v>72</v>
      </c>
      <c r="C1700" s="9" t="s">
        <v>40</v>
      </c>
      <c r="D1700" s="9">
        <v>0</v>
      </c>
      <c r="E1700" s="11" t="s">
        <v>105</v>
      </c>
      <c r="F1700" s="11" t="str">
        <f t="shared" si="26"/>
        <v>Yes</v>
      </c>
    </row>
    <row r="1701" spans="1:6" x14ac:dyDescent="0.3">
      <c r="A1701" s="9" t="s">
        <v>34</v>
      </c>
      <c r="B1701" s="9" t="s">
        <v>82</v>
      </c>
      <c r="C1701" s="9" t="s">
        <v>40</v>
      </c>
      <c r="D1701" s="9">
        <v>0</v>
      </c>
      <c r="E1701" s="11" t="s">
        <v>105</v>
      </c>
      <c r="F1701" s="11" t="str">
        <f t="shared" si="26"/>
        <v>Yes</v>
      </c>
    </row>
    <row r="1702" spans="1:6" x14ac:dyDescent="0.3">
      <c r="A1702" s="9" t="s">
        <v>34</v>
      </c>
      <c r="B1702" s="9" t="s">
        <v>81</v>
      </c>
      <c r="C1702" s="9" t="s">
        <v>81</v>
      </c>
      <c r="D1702" s="9">
        <v>0</v>
      </c>
      <c r="E1702" s="11" t="s">
        <v>105</v>
      </c>
      <c r="F1702" s="11" t="str">
        <f t="shared" si="26"/>
        <v>Yes</v>
      </c>
    </row>
    <row r="1703" spans="1:6" x14ac:dyDescent="0.3">
      <c r="A1703" s="9" t="s">
        <v>34</v>
      </c>
      <c r="B1703" s="9" t="s">
        <v>73</v>
      </c>
      <c r="C1703" s="9" t="s">
        <v>81</v>
      </c>
      <c r="D1703" s="9">
        <v>0</v>
      </c>
      <c r="E1703" s="11" t="s">
        <v>105</v>
      </c>
      <c r="F1703" s="11" t="str">
        <f t="shared" si="26"/>
        <v>Yes</v>
      </c>
    </row>
    <row r="1704" spans="1:6" x14ac:dyDescent="0.3">
      <c r="A1704" s="9" t="s">
        <v>34</v>
      </c>
      <c r="B1704" s="9" t="s">
        <v>80</v>
      </c>
      <c r="C1704" s="9" t="s">
        <v>81</v>
      </c>
      <c r="D1704" s="9">
        <v>0</v>
      </c>
      <c r="E1704" s="11" t="s">
        <v>105</v>
      </c>
      <c r="F1704" s="11" t="str">
        <f t="shared" si="26"/>
        <v>Yes</v>
      </c>
    </row>
    <row r="1705" spans="1:6" x14ac:dyDescent="0.3">
      <c r="A1705" s="9" t="s">
        <v>34</v>
      </c>
      <c r="B1705" s="9" t="s">
        <v>79</v>
      </c>
      <c r="C1705" s="9" t="s">
        <v>96</v>
      </c>
      <c r="D1705" s="9">
        <v>2</v>
      </c>
      <c r="E1705" s="11" t="s">
        <v>106</v>
      </c>
      <c r="F1705" s="11" t="str">
        <f t="shared" si="26"/>
        <v>Yes</v>
      </c>
    </row>
    <row r="1706" spans="1:6" x14ac:dyDescent="0.3">
      <c r="A1706" s="9" t="s">
        <v>34</v>
      </c>
      <c r="B1706" s="9" t="s">
        <v>46</v>
      </c>
      <c r="C1706" s="9" t="s">
        <v>96</v>
      </c>
      <c r="D1706" s="9">
        <v>2</v>
      </c>
      <c r="E1706" s="11" t="s">
        <v>107</v>
      </c>
      <c r="F1706" s="11" t="str">
        <f t="shared" si="26"/>
        <v>No</v>
      </c>
    </row>
    <row r="1707" spans="1:6" x14ac:dyDescent="0.3">
      <c r="A1707" s="9" t="s">
        <v>34</v>
      </c>
      <c r="B1707" s="9" t="s">
        <v>47</v>
      </c>
      <c r="C1707" s="9" t="s">
        <v>96</v>
      </c>
      <c r="D1707" s="9">
        <v>0</v>
      </c>
      <c r="E1707" s="11" t="s">
        <v>107</v>
      </c>
      <c r="F1707" s="11" t="str">
        <f t="shared" si="26"/>
        <v>No</v>
      </c>
    </row>
    <row r="1708" spans="1:6" x14ac:dyDescent="0.3">
      <c r="A1708" s="9" t="s">
        <v>34</v>
      </c>
      <c r="B1708" s="9" t="s">
        <v>48</v>
      </c>
      <c r="C1708" s="9" t="s">
        <v>97</v>
      </c>
      <c r="D1708" s="9">
        <v>0</v>
      </c>
      <c r="E1708" s="11" t="s">
        <v>106</v>
      </c>
      <c r="F1708" s="11" t="str">
        <f t="shared" si="26"/>
        <v>Yes</v>
      </c>
    </row>
    <row r="1709" spans="1:6" x14ac:dyDescent="0.3">
      <c r="A1709" s="9" t="s">
        <v>34</v>
      </c>
      <c r="B1709" s="9" t="s">
        <v>49</v>
      </c>
      <c r="C1709" s="9" t="s">
        <v>97</v>
      </c>
      <c r="D1709" s="9">
        <v>0</v>
      </c>
      <c r="E1709" s="11" t="s">
        <v>107</v>
      </c>
      <c r="F1709" s="11" t="str">
        <f t="shared" si="26"/>
        <v>No</v>
      </c>
    </row>
    <row r="1710" spans="1:6" x14ac:dyDescent="0.3">
      <c r="A1710" s="9" t="s">
        <v>34</v>
      </c>
      <c r="B1710" s="9" t="s">
        <v>50</v>
      </c>
      <c r="C1710" s="9" t="s">
        <v>97</v>
      </c>
      <c r="D1710" s="9">
        <v>0</v>
      </c>
      <c r="E1710" s="11" t="s">
        <v>107</v>
      </c>
      <c r="F1710" s="11" t="str">
        <f t="shared" si="26"/>
        <v>No</v>
      </c>
    </row>
    <row r="1711" spans="1:6" x14ac:dyDescent="0.3">
      <c r="A1711" s="9" t="s">
        <v>34</v>
      </c>
      <c r="B1711" s="9" t="s">
        <v>51</v>
      </c>
      <c r="C1711" s="9" t="s">
        <v>99</v>
      </c>
      <c r="D1711" s="9">
        <v>2</v>
      </c>
      <c r="E1711" s="11" t="s">
        <v>106</v>
      </c>
      <c r="F1711" s="11" t="str">
        <f t="shared" si="26"/>
        <v>Yes</v>
      </c>
    </row>
    <row r="1712" spans="1:6" x14ac:dyDescent="0.3">
      <c r="A1712" s="9" t="s">
        <v>34</v>
      </c>
      <c r="B1712" s="9" t="s">
        <v>52</v>
      </c>
      <c r="C1712" s="9" t="s">
        <v>99</v>
      </c>
      <c r="D1712" s="9">
        <v>2</v>
      </c>
      <c r="E1712" s="11" t="s">
        <v>107</v>
      </c>
      <c r="F1712" s="11" t="str">
        <f t="shared" si="26"/>
        <v>No</v>
      </c>
    </row>
    <row r="1713" spans="1:6" x14ac:dyDescent="0.3">
      <c r="A1713" s="9" t="s">
        <v>34</v>
      </c>
      <c r="B1713" s="9" t="s">
        <v>53</v>
      </c>
      <c r="C1713" s="9" t="s">
        <v>99</v>
      </c>
      <c r="D1713" s="9">
        <v>0</v>
      </c>
      <c r="E1713" s="11" t="s">
        <v>107</v>
      </c>
      <c r="F1713" s="11" t="str">
        <f t="shared" si="26"/>
        <v>No</v>
      </c>
    </row>
    <row r="1714" spans="1:6" x14ac:dyDescent="0.3">
      <c r="A1714" s="9" t="s">
        <v>34</v>
      </c>
      <c r="B1714" s="9" t="s">
        <v>54</v>
      </c>
      <c r="C1714" s="9" t="s">
        <v>98</v>
      </c>
      <c r="D1714" s="9">
        <v>4</v>
      </c>
      <c r="E1714" s="11" t="s">
        <v>106</v>
      </c>
      <c r="F1714" s="11" t="str">
        <f t="shared" si="26"/>
        <v>Yes</v>
      </c>
    </row>
    <row r="1715" spans="1:6" x14ac:dyDescent="0.3">
      <c r="A1715" s="9" t="s">
        <v>34</v>
      </c>
      <c r="B1715" s="9" t="s">
        <v>55</v>
      </c>
      <c r="C1715" s="9" t="s">
        <v>98</v>
      </c>
      <c r="D1715" s="9">
        <v>4</v>
      </c>
      <c r="E1715" s="11" t="s">
        <v>107</v>
      </c>
      <c r="F1715" s="11" t="str">
        <f t="shared" si="26"/>
        <v>No</v>
      </c>
    </row>
    <row r="1716" spans="1:6" x14ac:dyDescent="0.3">
      <c r="A1716" s="9" t="s">
        <v>34</v>
      </c>
      <c r="B1716" s="9" t="s">
        <v>56</v>
      </c>
      <c r="C1716" s="9" t="s">
        <v>98</v>
      </c>
      <c r="D1716" s="9">
        <v>0</v>
      </c>
      <c r="E1716" s="11" t="s">
        <v>107</v>
      </c>
      <c r="F1716" s="11" t="str">
        <f t="shared" si="26"/>
        <v>No</v>
      </c>
    </row>
    <row r="1717" spans="1:6" x14ac:dyDescent="0.3">
      <c r="A1717" s="9" t="s">
        <v>34</v>
      </c>
      <c r="B1717" s="9" t="s">
        <v>74</v>
      </c>
      <c r="C1717" s="9" t="s">
        <v>74</v>
      </c>
      <c r="D1717" s="9">
        <v>0</v>
      </c>
      <c r="E1717" s="11" t="s">
        <v>105</v>
      </c>
      <c r="F1717" s="11" t="str">
        <f t="shared" si="26"/>
        <v>Yes</v>
      </c>
    </row>
    <row r="1718" spans="1:6" x14ac:dyDescent="0.3">
      <c r="A1718" s="9" t="s">
        <v>34</v>
      </c>
      <c r="B1718" s="9" t="s">
        <v>57</v>
      </c>
      <c r="C1718" s="9" t="s">
        <v>100</v>
      </c>
      <c r="D1718" s="9">
        <v>0</v>
      </c>
      <c r="E1718" s="11" t="s">
        <v>106</v>
      </c>
      <c r="F1718" s="11" t="str">
        <f t="shared" si="26"/>
        <v>Yes</v>
      </c>
    </row>
    <row r="1719" spans="1:6" x14ac:dyDescent="0.3">
      <c r="A1719" s="9" t="s">
        <v>34</v>
      </c>
      <c r="B1719" s="9" t="s">
        <v>76</v>
      </c>
      <c r="C1719" s="9" t="s">
        <v>100</v>
      </c>
      <c r="D1719" s="9">
        <v>0</v>
      </c>
      <c r="E1719" s="11" t="s">
        <v>107</v>
      </c>
      <c r="F1719" s="11" t="str">
        <f t="shared" si="26"/>
        <v>No</v>
      </c>
    </row>
    <row r="1720" spans="1:6" x14ac:dyDescent="0.3">
      <c r="A1720" s="9" t="s">
        <v>34</v>
      </c>
      <c r="B1720" s="9" t="s">
        <v>58</v>
      </c>
      <c r="C1720" s="9" t="s">
        <v>100</v>
      </c>
      <c r="D1720" s="9">
        <v>0</v>
      </c>
      <c r="E1720" s="11" t="s">
        <v>107</v>
      </c>
      <c r="F1720" s="11" t="str">
        <f t="shared" si="26"/>
        <v>No</v>
      </c>
    </row>
    <row r="1721" spans="1:6" x14ac:dyDescent="0.3">
      <c r="A1721" s="9" t="s">
        <v>34</v>
      </c>
      <c r="B1721" s="9" t="s">
        <v>59</v>
      </c>
      <c r="C1721" s="9" t="s">
        <v>100</v>
      </c>
      <c r="D1721" s="9">
        <v>0</v>
      </c>
      <c r="E1721" s="11" t="s">
        <v>107</v>
      </c>
      <c r="F1721" s="11" t="str">
        <f t="shared" si="26"/>
        <v>No</v>
      </c>
    </row>
    <row r="1722" spans="1:6" x14ac:dyDescent="0.3">
      <c r="A1722" s="9" t="s">
        <v>34</v>
      </c>
      <c r="B1722" s="9" t="s">
        <v>60</v>
      </c>
      <c r="C1722" s="9" t="s">
        <v>100</v>
      </c>
      <c r="D1722" s="9">
        <v>0</v>
      </c>
      <c r="E1722" s="11" t="s">
        <v>107</v>
      </c>
      <c r="F1722" s="11" t="str">
        <f t="shared" si="26"/>
        <v>No</v>
      </c>
    </row>
    <row r="1723" spans="1:6" x14ac:dyDescent="0.3">
      <c r="A1723" s="9" t="s">
        <v>34</v>
      </c>
      <c r="B1723" s="9" t="s">
        <v>61</v>
      </c>
      <c r="C1723" s="9" t="s">
        <v>100</v>
      </c>
      <c r="D1723" s="9">
        <v>0</v>
      </c>
      <c r="E1723" s="11" t="s">
        <v>107</v>
      </c>
      <c r="F1723" s="11" t="str">
        <f t="shared" si="26"/>
        <v>No</v>
      </c>
    </row>
    <row r="1724" spans="1:6" x14ac:dyDescent="0.3">
      <c r="A1724" s="9" t="s">
        <v>34</v>
      </c>
      <c r="B1724" s="9" t="s">
        <v>78</v>
      </c>
      <c r="C1724" s="9" t="s">
        <v>95</v>
      </c>
      <c r="D1724" s="9">
        <v>0</v>
      </c>
      <c r="E1724" s="11" t="s">
        <v>105</v>
      </c>
      <c r="F1724" s="11" t="str">
        <f t="shared" si="26"/>
        <v>Yes</v>
      </c>
    </row>
    <row r="1725" spans="1:6" x14ac:dyDescent="0.3">
      <c r="A1725" s="9" t="s">
        <v>34</v>
      </c>
      <c r="B1725" s="9" t="s">
        <v>62</v>
      </c>
      <c r="C1725" s="9" t="s">
        <v>101</v>
      </c>
      <c r="D1725" s="9">
        <v>0</v>
      </c>
      <c r="E1725" s="11" t="s">
        <v>106</v>
      </c>
      <c r="F1725" s="11" t="str">
        <f t="shared" si="26"/>
        <v>Yes</v>
      </c>
    </row>
    <row r="1726" spans="1:6" x14ac:dyDescent="0.3">
      <c r="A1726" s="9" t="s">
        <v>34</v>
      </c>
      <c r="B1726" s="9" t="s">
        <v>63</v>
      </c>
      <c r="C1726" s="9" t="s">
        <v>101</v>
      </c>
      <c r="D1726" s="9">
        <v>0</v>
      </c>
      <c r="E1726" s="11" t="s">
        <v>107</v>
      </c>
      <c r="F1726" s="11" t="str">
        <f t="shared" si="26"/>
        <v>No</v>
      </c>
    </row>
    <row r="1727" spans="1:6" x14ac:dyDescent="0.3">
      <c r="A1727" s="9" t="s">
        <v>34</v>
      </c>
      <c r="B1727" s="9" t="s">
        <v>64</v>
      </c>
      <c r="C1727" s="9" t="s">
        <v>101</v>
      </c>
      <c r="D1727" s="9">
        <v>0</v>
      </c>
      <c r="E1727" s="11" t="s">
        <v>107</v>
      </c>
      <c r="F1727" s="11" t="str">
        <f t="shared" si="26"/>
        <v>No</v>
      </c>
    </row>
    <row r="1728" spans="1:6" x14ac:dyDescent="0.3">
      <c r="A1728" s="9" t="s">
        <v>34</v>
      </c>
      <c r="B1728" s="9" t="s">
        <v>77</v>
      </c>
      <c r="C1728" s="9" t="s">
        <v>102</v>
      </c>
      <c r="D1728" s="9">
        <v>3</v>
      </c>
      <c r="E1728" s="11" t="s">
        <v>106</v>
      </c>
      <c r="F1728" s="11" t="str">
        <f t="shared" si="26"/>
        <v>Yes</v>
      </c>
    </row>
    <row r="1729" spans="1:6" x14ac:dyDescent="0.3">
      <c r="A1729" s="9" t="s">
        <v>34</v>
      </c>
      <c r="B1729" s="9" t="s">
        <v>65</v>
      </c>
      <c r="C1729" s="9" t="s">
        <v>102</v>
      </c>
      <c r="D1729" s="9">
        <v>3</v>
      </c>
      <c r="E1729" s="11" t="s">
        <v>107</v>
      </c>
      <c r="F1729" s="11" t="str">
        <f t="shared" si="26"/>
        <v>No</v>
      </c>
    </row>
    <row r="1730" spans="1:6" x14ac:dyDescent="0.3">
      <c r="A1730" s="9" t="s">
        <v>34</v>
      </c>
      <c r="B1730" s="9" t="s">
        <v>66</v>
      </c>
      <c r="C1730" s="9" t="s">
        <v>102</v>
      </c>
      <c r="D1730" s="9">
        <v>0</v>
      </c>
      <c r="E1730" s="11" t="s">
        <v>107</v>
      </c>
      <c r="F1730" s="11" t="str">
        <f t="shared" ref="F1730:F1793" si="27">IF(E1730="Standalone","Yes",IF(AND(E1730="Total",OR(B1730="Kidnapping &amp; Abduction (Total)",B1730="Rape (Total)",B1730="Attempt to Rape (Total)",B1730="Assault to Outrage Modesty (Total)",B1730="Insult to Modesty (Total)",B1730="Immoral Traffic (Prevention) Act (Total)",B1730="Women-Centric Cyber Crime (Total)",B1730="POCSO (Protection of Children from Sexual Offences Act) (Total)")),"Yes","No"))</f>
        <v>No</v>
      </c>
    </row>
    <row r="1731" spans="1:6" x14ac:dyDescent="0.3">
      <c r="A1731" s="9" t="s">
        <v>34</v>
      </c>
      <c r="B1731" s="9" t="s">
        <v>67</v>
      </c>
      <c r="C1731" s="9" t="s">
        <v>102</v>
      </c>
      <c r="D1731" s="9">
        <v>0</v>
      </c>
      <c r="E1731" s="11" t="s">
        <v>107</v>
      </c>
      <c r="F1731" s="11" t="str">
        <f t="shared" si="27"/>
        <v>No</v>
      </c>
    </row>
    <row r="1732" spans="1:6" x14ac:dyDescent="0.3">
      <c r="A1732" s="9" t="s">
        <v>34</v>
      </c>
      <c r="B1732" s="9" t="s">
        <v>68</v>
      </c>
      <c r="C1732" s="9" t="s">
        <v>102</v>
      </c>
      <c r="D1732" s="9">
        <v>0</v>
      </c>
      <c r="E1732" s="11" t="s">
        <v>107</v>
      </c>
      <c r="F1732" s="11" t="str">
        <f t="shared" si="27"/>
        <v>No</v>
      </c>
    </row>
    <row r="1733" spans="1:6" x14ac:dyDescent="0.3">
      <c r="A1733" s="9" t="s">
        <v>34</v>
      </c>
      <c r="B1733" s="9" t="s">
        <v>69</v>
      </c>
      <c r="C1733" s="9" t="s">
        <v>102</v>
      </c>
      <c r="D1733" s="9">
        <v>0</v>
      </c>
      <c r="E1733" s="11" t="s">
        <v>107</v>
      </c>
      <c r="F1733" s="11" t="str">
        <f t="shared" si="27"/>
        <v>No</v>
      </c>
    </row>
    <row r="1734" spans="1:6" x14ac:dyDescent="0.3">
      <c r="A1734" s="9" t="s">
        <v>34</v>
      </c>
      <c r="B1734" s="9" t="s">
        <v>70</v>
      </c>
      <c r="C1734" s="9" t="s">
        <v>102</v>
      </c>
      <c r="D1734" s="9">
        <v>0</v>
      </c>
      <c r="E1734" s="11" t="s">
        <v>107</v>
      </c>
      <c r="F1734" s="11" t="str">
        <f t="shared" si="27"/>
        <v>No</v>
      </c>
    </row>
    <row r="1735" spans="1:6" x14ac:dyDescent="0.3">
      <c r="A1735" s="9" t="s">
        <v>34</v>
      </c>
      <c r="B1735" s="9" t="s">
        <v>75</v>
      </c>
      <c r="C1735" s="9" t="s">
        <v>103</v>
      </c>
      <c r="D1735" s="9">
        <v>0</v>
      </c>
      <c r="E1735" s="11" t="s">
        <v>105</v>
      </c>
      <c r="F1735" s="11" t="str">
        <f t="shared" si="27"/>
        <v>Yes</v>
      </c>
    </row>
    <row r="1736" spans="1:6" x14ac:dyDescent="0.3">
      <c r="A1736" s="9" t="s">
        <v>35</v>
      </c>
      <c r="B1736" s="9" t="s">
        <v>88</v>
      </c>
      <c r="C1736" s="9" t="s">
        <v>92</v>
      </c>
      <c r="D1736" s="9">
        <v>0</v>
      </c>
      <c r="E1736" s="11" t="s">
        <v>105</v>
      </c>
      <c r="F1736" s="11" t="str">
        <f t="shared" si="27"/>
        <v>Yes</v>
      </c>
    </row>
    <row r="1737" spans="1:6" x14ac:dyDescent="0.3">
      <c r="A1737" s="9" t="s">
        <v>35</v>
      </c>
      <c r="B1737" s="9" t="s">
        <v>38</v>
      </c>
      <c r="C1737" s="9" t="s">
        <v>93</v>
      </c>
      <c r="D1737" s="9">
        <v>0</v>
      </c>
      <c r="E1737" s="11" t="s">
        <v>105</v>
      </c>
      <c r="F1737" s="11" t="str">
        <f t="shared" si="27"/>
        <v>Yes</v>
      </c>
    </row>
    <row r="1738" spans="1:6" x14ac:dyDescent="0.3">
      <c r="A1738" s="9" t="s">
        <v>35</v>
      </c>
      <c r="B1738" s="9" t="s">
        <v>87</v>
      </c>
      <c r="C1738" s="9" t="s">
        <v>94</v>
      </c>
      <c r="D1738" s="9">
        <v>0</v>
      </c>
      <c r="E1738" s="11" t="s">
        <v>105</v>
      </c>
      <c r="F1738" s="11" t="str">
        <f t="shared" si="27"/>
        <v>Yes</v>
      </c>
    </row>
    <row r="1739" spans="1:6" x14ac:dyDescent="0.3">
      <c r="A1739" s="9" t="s">
        <v>35</v>
      </c>
      <c r="B1739" s="9" t="s">
        <v>86</v>
      </c>
      <c r="C1739" s="9" t="s">
        <v>86</v>
      </c>
      <c r="D1739" s="9">
        <v>0</v>
      </c>
      <c r="E1739" s="11" t="s">
        <v>105</v>
      </c>
      <c r="F1739" s="11" t="str">
        <f t="shared" si="27"/>
        <v>Yes</v>
      </c>
    </row>
    <row r="1740" spans="1:6" x14ac:dyDescent="0.3">
      <c r="A1740" s="9" t="s">
        <v>35</v>
      </c>
      <c r="B1740" s="9" t="s">
        <v>85</v>
      </c>
      <c r="C1740" s="9" t="s">
        <v>85</v>
      </c>
      <c r="D1740" s="9">
        <v>0</v>
      </c>
      <c r="E1740" s="11" t="s">
        <v>105</v>
      </c>
      <c r="F1740" s="11" t="str">
        <f t="shared" si="27"/>
        <v>Yes</v>
      </c>
    </row>
    <row r="1741" spans="1:6" x14ac:dyDescent="0.3">
      <c r="A1741" s="9" t="s">
        <v>35</v>
      </c>
      <c r="B1741" s="9" t="s">
        <v>84</v>
      </c>
      <c r="C1741" s="9" t="s">
        <v>85</v>
      </c>
      <c r="D1741" s="9">
        <v>0</v>
      </c>
      <c r="E1741" s="11" t="s">
        <v>105</v>
      </c>
      <c r="F1741" s="11" t="str">
        <f t="shared" si="27"/>
        <v>Yes</v>
      </c>
    </row>
    <row r="1742" spans="1:6" x14ac:dyDescent="0.3">
      <c r="A1742" s="9" t="s">
        <v>35</v>
      </c>
      <c r="B1742" s="9" t="s">
        <v>83</v>
      </c>
      <c r="C1742" s="9" t="s">
        <v>95</v>
      </c>
      <c r="D1742" s="9">
        <v>3</v>
      </c>
      <c r="E1742" s="11" t="s">
        <v>105</v>
      </c>
      <c r="F1742" s="11" t="str">
        <f t="shared" si="27"/>
        <v>Yes</v>
      </c>
    </row>
    <row r="1743" spans="1:6" x14ac:dyDescent="0.3">
      <c r="A1743" s="9" t="s">
        <v>35</v>
      </c>
      <c r="B1743" s="9" t="s">
        <v>39</v>
      </c>
      <c r="C1743" s="9" t="s">
        <v>40</v>
      </c>
      <c r="D1743" s="9">
        <v>0</v>
      </c>
      <c r="E1743" s="11" t="s">
        <v>106</v>
      </c>
      <c r="F1743" s="11" t="str">
        <f t="shared" si="27"/>
        <v>Yes</v>
      </c>
    </row>
    <row r="1744" spans="1:6" x14ac:dyDescent="0.3">
      <c r="A1744" s="9" t="s">
        <v>35</v>
      </c>
      <c r="B1744" s="9" t="s">
        <v>40</v>
      </c>
      <c r="C1744" s="9" t="s">
        <v>40</v>
      </c>
      <c r="D1744" s="9">
        <v>0</v>
      </c>
      <c r="E1744" s="11" t="s">
        <v>107</v>
      </c>
      <c r="F1744" s="11" t="str">
        <f t="shared" si="27"/>
        <v>No</v>
      </c>
    </row>
    <row r="1745" spans="1:6" x14ac:dyDescent="0.3">
      <c r="A1745" s="9" t="s">
        <v>35</v>
      </c>
      <c r="B1745" s="9" t="s">
        <v>41</v>
      </c>
      <c r="C1745" s="9" t="s">
        <v>40</v>
      </c>
      <c r="D1745" s="9">
        <v>0</v>
      </c>
      <c r="E1745" s="11" t="s">
        <v>107</v>
      </c>
      <c r="F1745" s="11" t="str">
        <f t="shared" si="27"/>
        <v>No</v>
      </c>
    </row>
    <row r="1746" spans="1:6" x14ac:dyDescent="0.3">
      <c r="A1746" s="9" t="s">
        <v>35</v>
      </c>
      <c r="B1746" s="9" t="s">
        <v>42</v>
      </c>
      <c r="C1746" s="9" t="s">
        <v>40</v>
      </c>
      <c r="D1746" s="9">
        <v>0</v>
      </c>
      <c r="E1746" s="11" t="s">
        <v>107</v>
      </c>
      <c r="F1746" s="11" t="str">
        <f t="shared" si="27"/>
        <v>No</v>
      </c>
    </row>
    <row r="1747" spans="1:6" x14ac:dyDescent="0.3">
      <c r="A1747" s="9" t="s">
        <v>35</v>
      </c>
      <c r="B1747" s="9" t="s">
        <v>43</v>
      </c>
      <c r="C1747" s="9" t="s">
        <v>40</v>
      </c>
      <c r="D1747" s="9">
        <v>0</v>
      </c>
      <c r="E1747" s="11" t="s">
        <v>106</v>
      </c>
      <c r="F1747" s="11" t="str">
        <f t="shared" si="27"/>
        <v>No</v>
      </c>
    </row>
    <row r="1748" spans="1:6" x14ac:dyDescent="0.3">
      <c r="A1748" s="9" t="s">
        <v>35</v>
      </c>
      <c r="B1748" s="9" t="s">
        <v>44</v>
      </c>
      <c r="C1748" s="9" t="s">
        <v>40</v>
      </c>
      <c r="D1748" s="9">
        <v>0</v>
      </c>
      <c r="E1748" s="11" t="s">
        <v>107</v>
      </c>
      <c r="F1748" s="11" t="str">
        <f t="shared" si="27"/>
        <v>No</v>
      </c>
    </row>
    <row r="1749" spans="1:6" x14ac:dyDescent="0.3">
      <c r="A1749" s="9" t="s">
        <v>35</v>
      </c>
      <c r="B1749" s="9" t="s">
        <v>45</v>
      </c>
      <c r="C1749" s="9" t="s">
        <v>40</v>
      </c>
      <c r="D1749" s="9">
        <v>0</v>
      </c>
      <c r="E1749" s="11" t="s">
        <v>107</v>
      </c>
      <c r="F1749" s="11" t="str">
        <f t="shared" si="27"/>
        <v>No</v>
      </c>
    </row>
    <row r="1750" spans="1:6" x14ac:dyDescent="0.3">
      <c r="A1750" s="9" t="s">
        <v>35</v>
      </c>
      <c r="B1750" s="9" t="s">
        <v>71</v>
      </c>
      <c r="C1750" s="9" t="s">
        <v>40</v>
      </c>
      <c r="D1750" s="9">
        <v>0</v>
      </c>
      <c r="E1750" s="11" t="s">
        <v>105</v>
      </c>
      <c r="F1750" s="11" t="str">
        <f t="shared" si="27"/>
        <v>Yes</v>
      </c>
    </row>
    <row r="1751" spans="1:6" x14ac:dyDescent="0.3">
      <c r="A1751" s="9" t="s">
        <v>35</v>
      </c>
      <c r="B1751" s="9" t="s">
        <v>72</v>
      </c>
      <c r="C1751" s="9" t="s">
        <v>40</v>
      </c>
      <c r="D1751" s="9">
        <v>0</v>
      </c>
      <c r="E1751" s="11" t="s">
        <v>105</v>
      </c>
      <c r="F1751" s="11" t="str">
        <f t="shared" si="27"/>
        <v>Yes</v>
      </c>
    </row>
    <row r="1752" spans="1:6" x14ac:dyDescent="0.3">
      <c r="A1752" s="9" t="s">
        <v>35</v>
      </c>
      <c r="B1752" s="9" t="s">
        <v>82</v>
      </c>
      <c r="C1752" s="9" t="s">
        <v>40</v>
      </c>
      <c r="D1752" s="9">
        <v>0</v>
      </c>
      <c r="E1752" s="11" t="s">
        <v>105</v>
      </c>
      <c r="F1752" s="11" t="str">
        <f t="shared" si="27"/>
        <v>Yes</v>
      </c>
    </row>
    <row r="1753" spans="1:6" x14ac:dyDescent="0.3">
      <c r="A1753" s="9" t="s">
        <v>35</v>
      </c>
      <c r="B1753" s="9" t="s">
        <v>81</v>
      </c>
      <c r="C1753" s="9" t="s">
        <v>81</v>
      </c>
      <c r="D1753" s="9">
        <v>0</v>
      </c>
      <c r="E1753" s="11" t="s">
        <v>105</v>
      </c>
      <c r="F1753" s="11" t="str">
        <f t="shared" si="27"/>
        <v>Yes</v>
      </c>
    </row>
    <row r="1754" spans="1:6" x14ac:dyDescent="0.3">
      <c r="A1754" s="9" t="s">
        <v>35</v>
      </c>
      <c r="B1754" s="9" t="s">
        <v>73</v>
      </c>
      <c r="C1754" s="9" t="s">
        <v>81</v>
      </c>
      <c r="D1754" s="9">
        <v>0</v>
      </c>
      <c r="E1754" s="11" t="s">
        <v>105</v>
      </c>
      <c r="F1754" s="11" t="str">
        <f t="shared" si="27"/>
        <v>Yes</v>
      </c>
    </row>
    <row r="1755" spans="1:6" x14ac:dyDescent="0.3">
      <c r="A1755" s="9" t="s">
        <v>35</v>
      </c>
      <c r="B1755" s="9" t="s">
        <v>80</v>
      </c>
      <c r="C1755" s="9" t="s">
        <v>81</v>
      </c>
      <c r="D1755" s="9">
        <v>0</v>
      </c>
      <c r="E1755" s="11" t="s">
        <v>105</v>
      </c>
      <c r="F1755" s="11" t="str">
        <f t="shared" si="27"/>
        <v>Yes</v>
      </c>
    </row>
    <row r="1756" spans="1:6" x14ac:dyDescent="0.3">
      <c r="A1756" s="9" t="s">
        <v>35</v>
      </c>
      <c r="B1756" s="9" t="s">
        <v>79</v>
      </c>
      <c r="C1756" s="9" t="s">
        <v>96</v>
      </c>
      <c r="D1756" s="9">
        <v>1</v>
      </c>
      <c r="E1756" s="11" t="s">
        <v>106</v>
      </c>
      <c r="F1756" s="11" t="str">
        <f t="shared" si="27"/>
        <v>Yes</v>
      </c>
    </row>
    <row r="1757" spans="1:6" x14ac:dyDescent="0.3">
      <c r="A1757" s="9" t="s">
        <v>35</v>
      </c>
      <c r="B1757" s="9" t="s">
        <v>46</v>
      </c>
      <c r="C1757" s="9" t="s">
        <v>96</v>
      </c>
      <c r="D1757" s="9">
        <v>1</v>
      </c>
      <c r="E1757" s="11" t="s">
        <v>107</v>
      </c>
      <c r="F1757" s="11" t="str">
        <f t="shared" si="27"/>
        <v>No</v>
      </c>
    </row>
    <row r="1758" spans="1:6" x14ac:dyDescent="0.3">
      <c r="A1758" s="9" t="s">
        <v>35</v>
      </c>
      <c r="B1758" s="9" t="s">
        <v>47</v>
      </c>
      <c r="C1758" s="9" t="s">
        <v>96</v>
      </c>
      <c r="D1758" s="9">
        <v>0</v>
      </c>
      <c r="E1758" s="11" t="s">
        <v>107</v>
      </c>
      <c r="F1758" s="11" t="str">
        <f t="shared" si="27"/>
        <v>No</v>
      </c>
    </row>
    <row r="1759" spans="1:6" x14ac:dyDescent="0.3">
      <c r="A1759" s="9" t="s">
        <v>35</v>
      </c>
      <c r="B1759" s="9" t="s">
        <v>48</v>
      </c>
      <c r="C1759" s="9" t="s">
        <v>97</v>
      </c>
      <c r="D1759" s="9">
        <v>0</v>
      </c>
      <c r="E1759" s="11" t="s">
        <v>106</v>
      </c>
      <c r="F1759" s="11" t="str">
        <f t="shared" si="27"/>
        <v>Yes</v>
      </c>
    </row>
    <row r="1760" spans="1:6" x14ac:dyDescent="0.3">
      <c r="A1760" s="9" t="s">
        <v>35</v>
      </c>
      <c r="B1760" s="9" t="s">
        <v>49</v>
      </c>
      <c r="C1760" s="9" t="s">
        <v>97</v>
      </c>
      <c r="D1760" s="9">
        <v>0</v>
      </c>
      <c r="E1760" s="11" t="s">
        <v>107</v>
      </c>
      <c r="F1760" s="11" t="str">
        <f t="shared" si="27"/>
        <v>No</v>
      </c>
    </row>
    <row r="1761" spans="1:6" x14ac:dyDescent="0.3">
      <c r="A1761" s="9" t="s">
        <v>35</v>
      </c>
      <c r="B1761" s="9" t="s">
        <v>50</v>
      </c>
      <c r="C1761" s="9" t="s">
        <v>97</v>
      </c>
      <c r="D1761" s="9">
        <v>0</v>
      </c>
      <c r="E1761" s="11" t="s">
        <v>107</v>
      </c>
      <c r="F1761" s="11" t="str">
        <f t="shared" si="27"/>
        <v>No</v>
      </c>
    </row>
    <row r="1762" spans="1:6" x14ac:dyDescent="0.3">
      <c r="A1762" s="9" t="s">
        <v>35</v>
      </c>
      <c r="B1762" s="9" t="s">
        <v>51</v>
      </c>
      <c r="C1762" s="9" t="s">
        <v>99</v>
      </c>
      <c r="D1762" s="9">
        <v>7</v>
      </c>
      <c r="E1762" s="11" t="s">
        <v>106</v>
      </c>
      <c r="F1762" s="11" t="str">
        <f t="shared" si="27"/>
        <v>Yes</v>
      </c>
    </row>
    <row r="1763" spans="1:6" x14ac:dyDescent="0.3">
      <c r="A1763" s="9" t="s">
        <v>35</v>
      </c>
      <c r="B1763" s="9" t="s">
        <v>52</v>
      </c>
      <c r="C1763" s="9" t="s">
        <v>99</v>
      </c>
      <c r="D1763" s="9">
        <v>7</v>
      </c>
      <c r="E1763" s="11" t="s">
        <v>107</v>
      </c>
      <c r="F1763" s="11" t="str">
        <f t="shared" si="27"/>
        <v>No</v>
      </c>
    </row>
    <row r="1764" spans="1:6" x14ac:dyDescent="0.3">
      <c r="A1764" s="9" t="s">
        <v>35</v>
      </c>
      <c r="B1764" s="9" t="s">
        <v>53</v>
      </c>
      <c r="C1764" s="9" t="s">
        <v>99</v>
      </c>
      <c r="D1764" s="9">
        <v>0</v>
      </c>
      <c r="E1764" s="11" t="s">
        <v>107</v>
      </c>
      <c r="F1764" s="11" t="str">
        <f t="shared" si="27"/>
        <v>No</v>
      </c>
    </row>
    <row r="1765" spans="1:6" x14ac:dyDescent="0.3">
      <c r="A1765" s="9" t="s">
        <v>35</v>
      </c>
      <c r="B1765" s="9" t="s">
        <v>54</v>
      </c>
      <c r="C1765" s="9" t="s">
        <v>98</v>
      </c>
      <c r="D1765" s="9">
        <v>1</v>
      </c>
      <c r="E1765" s="11" t="s">
        <v>106</v>
      </c>
      <c r="F1765" s="11" t="str">
        <f t="shared" si="27"/>
        <v>Yes</v>
      </c>
    </row>
    <row r="1766" spans="1:6" x14ac:dyDescent="0.3">
      <c r="A1766" s="9" t="s">
        <v>35</v>
      </c>
      <c r="B1766" s="9" t="s">
        <v>55</v>
      </c>
      <c r="C1766" s="9" t="s">
        <v>98</v>
      </c>
      <c r="D1766" s="9">
        <v>1</v>
      </c>
      <c r="E1766" s="11" t="s">
        <v>107</v>
      </c>
      <c r="F1766" s="11" t="str">
        <f t="shared" si="27"/>
        <v>No</v>
      </c>
    </row>
    <row r="1767" spans="1:6" x14ac:dyDescent="0.3">
      <c r="A1767" s="9" t="s">
        <v>35</v>
      </c>
      <c r="B1767" s="9" t="s">
        <v>56</v>
      </c>
      <c r="C1767" s="9" t="s">
        <v>98</v>
      </c>
      <c r="D1767" s="9">
        <v>0</v>
      </c>
      <c r="E1767" s="11" t="s">
        <v>107</v>
      </c>
      <c r="F1767" s="11" t="str">
        <f t="shared" si="27"/>
        <v>No</v>
      </c>
    </row>
    <row r="1768" spans="1:6" x14ac:dyDescent="0.3">
      <c r="A1768" s="9" t="s">
        <v>35</v>
      </c>
      <c r="B1768" s="9" t="s">
        <v>74</v>
      </c>
      <c r="C1768" s="9" t="s">
        <v>74</v>
      </c>
      <c r="D1768" s="9">
        <v>0</v>
      </c>
      <c r="E1768" s="11" t="s">
        <v>105</v>
      </c>
      <c r="F1768" s="11" t="str">
        <f t="shared" si="27"/>
        <v>Yes</v>
      </c>
    </row>
    <row r="1769" spans="1:6" x14ac:dyDescent="0.3">
      <c r="A1769" s="9" t="s">
        <v>35</v>
      </c>
      <c r="B1769" s="9" t="s">
        <v>57</v>
      </c>
      <c r="C1769" s="9" t="s">
        <v>100</v>
      </c>
      <c r="D1769" s="9">
        <v>0</v>
      </c>
      <c r="E1769" s="11" t="s">
        <v>106</v>
      </c>
      <c r="F1769" s="11" t="str">
        <f t="shared" si="27"/>
        <v>Yes</v>
      </c>
    </row>
    <row r="1770" spans="1:6" x14ac:dyDescent="0.3">
      <c r="A1770" s="9" t="s">
        <v>35</v>
      </c>
      <c r="B1770" s="9" t="s">
        <v>76</v>
      </c>
      <c r="C1770" s="9" t="s">
        <v>100</v>
      </c>
      <c r="D1770" s="9">
        <v>0</v>
      </c>
      <c r="E1770" s="11" t="s">
        <v>107</v>
      </c>
      <c r="F1770" s="11" t="str">
        <f t="shared" si="27"/>
        <v>No</v>
      </c>
    </row>
    <row r="1771" spans="1:6" x14ac:dyDescent="0.3">
      <c r="A1771" s="9" t="s">
        <v>35</v>
      </c>
      <c r="B1771" s="9" t="s">
        <v>58</v>
      </c>
      <c r="C1771" s="9" t="s">
        <v>100</v>
      </c>
      <c r="D1771" s="9">
        <v>0</v>
      </c>
      <c r="E1771" s="11" t="s">
        <v>107</v>
      </c>
      <c r="F1771" s="11" t="str">
        <f t="shared" si="27"/>
        <v>No</v>
      </c>
    </row>
    <row r="1772" spans="1:6" x14ac:dyDescent="0.3">
      <c r="A1772" s="9" t="s">
        <v>35</v>
      </c>
      <c r="B1772" s="9" t="s">
        <v>59</v>
      </c>
      <c r="C1772" s="9" t="s">
        <v>100</v>
      </c>
      <c r="D1772" s="9">
        <v>0</v>
      </c>
      <c r="E1772" s="11" t="s">
        <v>107</v>
      </c>
      <c r="F1772" s="11" t="str">
        <f t="shared" si="27"/>
        <v>No</v>
      </c>
    </row>
    <row r="1773" spans="1:6" x14ac:dyDescent="0.3">
      <c r="A1773" s="9" t="s">
        <v>35</v>
      </c>
      <c r="B1773" s="9" t="s">
        <v>60</v>
      </c>
      <c r="C1773" s="9" t="s">
        <v>100</v>
      </c>
      <c r="D1773" s="9">
        <v>0</v>
      </c>
      <c r="E1773" s="11" t="s">
        <v>107</v>
      </c>
      <c r="F1773" s="11" t="str">
        <f t="shared" si="27"/>
        <v>No</v>
      </c>
    </row>
    <row r="1774" spans="1:6" x14ac:dyDescent="0.3">
      <c r="A1774" s="9" t="s">
        <v>35</v>
      </c>
      <c r="B1774" s="9" t="s">
        <v>61</v>
      </c>
      <c r="C1774" s="9" t="s">
        <v>100</v>
      </c>
      <c r="D1774" s="9">
        <v>0</v>
      </c>
      <c r="E1774" s="11" t="s">
        <v>107</v>
      </c>
      <c r="F1774" s="11" t="str">
        <f t="shared" si="27"/>
        <v>No</v>
      </c>
    </row>
    <row r="1775" spans="1:6" x14ac:dyDescent="0.3">
      <c r="A1775" s="9" t="s">
        <v>35</v>
      </c>
      <c r="B1775" s="9" t="s">
        <v>78</v>
      </c>
      <c r="C1775" s="9" t="s">
        <v>95</v>
      </c>
      <c r="D1775" s="9">
        <v>0</v>
      </c>
      <c r="E1775" s="11" t="s">
        <v>105</v>
      </c>
      <c r="F1775" s="11" t="str">
        <f t="shared" si="27"/>
        <v>Yes</v>
      </c>
    </row>
    <row r="1776" spans="1:6" x14ac:dyDescent="0.3">
      <c r="A1776" s="9" t="s">
        <v>35</v>
      </c>
      <c r="B1776" s="9" t="s">
        <v>62</v>
      </c>
      <c r="C1776" s="9" t="s">
        <v>101</v>
      </c>
      <c r="D1776" s="9">
        <v>1</v>
      </c>
      <c r="E1776" s="11" t="s">
        <v>106</v>
      </c>
      <c r="F1776" s="11" t="str">
        <f t="shared" si="27"/>
        <v>Yes</v>
      </c>
    </row>
    <row r="1777" spans="1:6" x14ac:dyDescent="0.3">
      <c r="A1777" s="9" t="s">
        <v>35</v>
      </c>
      <c r="B1777" s="9" t="s">
        <v>63</v>
      </c>
      <c r="C1777" s="9" t="s">
        <v>101</v>
      </c>
      <c r="D1777" s="9">
        <v>1</v>
      </c>
      <c r="E1777" s="11" t="s">
        <v>107</v>
      </c>
      <c r="F1777" s="11" t="str">
        <f t="shared" si="27"/>
        <v>No</v>
      </c>
    </row>
    <row r="1778" spans="1:6" x14ac:dyDescent="0.3">
      <c r="A1778" s="9" t="s">
        <v>35</v>
      </c>
      <c r="B1778" s="9" t="s">
        <v>64</v>
      </c>
      <c r="C1778" s="9" t="s">
        <v>101</v>
      </c>
      <c r="D1778" s="9">
        <v>0</v>
      </c>
      <c r="E1778" s="11" t="s">
        <v>107</v>
      </c>
      <c r="F1778" s="11" t="str">
        <f t="shared" si="27"/>
        <v>No</v>
      </c>
    </row>
    <row r="1779" spans="1:6" x14ac:dyDescent="0.3">
      <c r="A1779" s="9" t="s">
        <v>35</v>
      </c>
      <c r="B1779" s="9" t="s">
        <v>77</v>
      </c>
      <c r="C1779" s="9" t="s">
        <v>102</v>
      </c>
      <c r="D1779" s="9">
        <v>9</v>
      </c>
      <c r="E1779" s="11" t="s">
        <v>106</v>
      </c>
      <c r="F1779" s="11" t="str">
        <f t="shared" si="27"/>
        <v>Yes</v>
      </c>
    </row>
    <row r="1780" spans="1:6" x14ac:dyDescent="0.3">
      <c r="A1780" s="9" t="s">
        <v>35</v>
      </c>
      <c r="B1780" s="9" t="s">
        <v>65</v>
      </c>
      <c r="C1780" s="9" t="s">
        <v>102</v>
      </c>
      <c r="D1780" s="9">
        <v>1</v>
      </c>
      <c r="E1780" s="11" t="s">
        <v>107</v>
      </c>
      <c r="F1780" s="11" t="str">
        <f t="shared" si="27"/>
        <v>No</v>
      </c>
    </row>
    <row r="1781" spans="1:6" x14ac:dyDescent="0.3">
      <c r="A1781" s="9" t="s">
        <v>35</v>
      </c>
      <c r="B1781" s="9" t="s">
        <v>66</v>
      </c>
      <c r="C1781" s="9" t="s">
        <v>102</v>
      </c>
      <c r="D1781" s="9">
        <v>5</v>
      </c>
      <c r="E1781" s="11" t="s">
        <v>107</v>
      </c>
      <c r="F1781" s="11" t="str">
        <f t="shared" si="27"/>
        <v>No</v>
      </c>
    </row>
    <row r="1782" spans="1:6" x14ac:dyDescent="0.3">
      <c r="A1782" s="9" t="s">
        <v>35</v>
      </c>
      <c r="B1782" s="9" t="s">
        <v>67</v>
      </c>
      <c r="C1782" s="9" t="s">
        <v>102</v>
      </c>
      <c r="D1782" s="9">
        <v>0</v>
      </c>
      <c r="E1782" s="11" t="s">
        <v>107</v>
      </c>
      <c r="F1782" s="11" t="str">
        <f t="shared" si="27"/>
        <v>No</v>
      </c>
    </row>
    <row r="1783" spans="1:6" x14ac:dyDescent="0.3">
      <c r="A1783" s="9" t="s">
        <v>35</v>
      </c>
      <c r="B1783" s="9" t="s">
        <v>68</v>
      </c>
      <c r="C1783" s="9" t="s">
        <v>102</v>
      </c>
      <c r="D1783" s="9">
        <v>2</v>
      </c>
      <c r="E1783" s="11" t="s">
        <v>107</v>
      </c>
      <c r="F1783" s="11" t="str">
        <f t="shared" si="27"/>
        <v>No</v>
      </c>
    </row>
    <row r="1784" spans="1:6" x14ac:dyDescent="0.3">
      <c r="A1784" s="9" t="s">
        <v>35</v>
      </c>
      <c r="B1784" s="9" t="s">
        <v>69</v>
      </c>
      <c r="C1784" s="9" t="s">
        <v>102</v>
      </c>
      <c r="D1784" s="9">
        <v>1</v>
      </c>
      <c r="E1784" s="11" t="s">
        <v>107</v>
      </c>
      <c r="F1784" s="11" t="str">
        <f t="shared" si="27"/>
        <v>No</v>
      </c>
    </row>
    <row r="1785" spans="1:6" x14ac:dyDescent="0.3">
      <c r="A1785" s="9" t="s">
        <v>35</v>
      </c>
      <c r="B1785" s="9" t="s">
        <v>70</v>
      </c>
      <c r="C1785" s="9" t="s">
        <v>102</v>
      </c>
      <c r="D1785" s="9">
        <v>0</v>
      </c>
      <c r="E1785" s="11" t="s">
        <v>107</v>
      </c>
      <c r="F1785" s="11" t="str">
        <f t="shared" si="27"/>
        <v>No</v>
      </c>
    </row>
    <row r="1786" spans="1:6" x14ac:dyDescent="0.3">
      <c r="A1786" s="9" t="s">
        <v>35</v>
      </c>
      <c r="B1786" s="9" t="s">
        <v>75</v>
      </c>
      <c r="C1786" s="9" t="s">
        <v>103</v>
      </c>
      <c r="D1786" s="9">
        <v>1</v>
      </c>
      <c r="E1786" s="11" t="s">
        <v>105</v>
      </c>
      <c r="F1786" s="11" t="str">
        <f t="shared" si="27"/>
        <v>Yes</v>
      </c>
    </row>
    <row r="1787" spans="1:6" x14ac:dyDescent="0.3">
      <c r="A1787" s="9" t="s">
        <v>36</v>
      </c>
      <c r="B1787" s="9" t="s">
        <v>88</v>
      </c>
      <c r="C1787" s="9" t="s">
        <v>92</v>
      </c>
      <c r="D1787" s="9">
        <v>0</v>
      </c>
      <c r="E1787" s="11" t="s">
        <v>105</v>
      </c>
      <c r="F1787" s="11" t="str">
        <f t="shared" si="27"/>
        <v>Yes</v>
      </c>
    </row>
    <row r="1788" spans="1:6" x14ac:dyDescent="0.3">
      <c r="A1788" s="9" t="s">
        <v>36</v>
      </c>
      <c r="B1788" s="9" t="s">
        <v>38</v>
      </c>
      <c r="C1788" s="9" t="s">
        <v>93</v>
      </c>
      <c r="D1788" s="9">
        <v>1</v>
      </c>
      <c r="E1788" s="11" t="s">
        <v>105</v>
      </c>
      <c r="F1788" s="11" t="str">
        <f t="shared" si="27"/>
        <v>Yes</v>
      </c>
    </row>
    <row r="1789" spans="1:6" x14ac:dyDescent="0.3">
      <c r="A1789" s="9" t="s">
        <v>36</v>
      </c>
      <c r="B1789" s="9" t="s">
        <v>87</v>
      </c>
      <c r="C1789" s="9" t="s">
        <v>94</v>
      </c>
      <c r="D1789" s="9">
        <v>4</v>
      </c>
      <c r="E1789" s="11" t="s">
        <v>105</v>
      </c>
      <c r="F1789" s="11" t="str">
        <f t="shared" si="27"/>
        <v>Yes</v>
      </c>
    </row>
    <row r="1790" spans="1:6" x14ac:dyDescent="0.3">
      <c r="A1790" s="9" t="s">
        <v>36</v>
      </c>
      <c r="B1790" s="9" t="s">
        <v>86</v>
      </c>
      <c r="C1790" s="9" t="s">
        <v>86</v>
      </c>
      <c r="D1790" s="9">
        <v>0</v>
      </c>
      <c r="E1790" s="11" t="s">
        <v>105</v>
      </c>
      <c r="F1790" s="11" t="str">
        <f t="shared" si="27"/>
        <v>Yes</v>
      </c>
    </row>
    <row r="1791" spans="1:6" x14ac:dyDescent="0.3">
      <c r="A1791" s="9" t="s">
        <v>36</v>
      </c>
      <c r="B1791" s="9" t="s">
        <v>85</v>
      </c>
      <c r="C1791" s="9" t="s">
        <v>85</v>
      </c>
      <c r="D1791" s="9">
        <v>0</v>
      </c>
      <c r="E1791" s="11" t="s">
        <v>105</v>
      </c>
      <c r="F1791" s="11" t="str">
        <f t="shared" si="27"/>
        <v>Yes</v>
      </c>
    </row>
    <row r="1792" spans="1:6" x14ac:dyDescent="0.3">
      <c r="A1792" s="9" t="s">
        <v>36</v>
      </c>
      <c r="B1792" s="9" t="s">
        <v>84</v>
      </c>
      <c r="C1792" s="9" t="s">
        <v>85</v>
      </c>
      <c r="D1792" s="9">
        <v>0</v>
      </c>
      <c r="E1792" s="11" t="s">
        <v>105</v>
      </c>
      <c r="F1792" s="11" t="str">
        <f t="shared" si="27"/>
        <v>Yes</v>
      </c>
    </row>
    <row r="1793" spans="1:6" x14ac:dyDescent="0.3">
      <c r="A1793" s="9" t="s">
        <v>36</v>
      </c>
      <c r="B1793" s="9" t="s">
        <v>83</v>
      </c>
      <c r="C1793" s="9" t="s">
        <v>95</v>
      </c>
      <c r="D1793" s="9">
        <v>9</v>
      </c>
      <c r="E1793" s="11" t="s">
        <v>105</v>
      </c>
      <c r="F1793" s="11" t="str">
        <f t="shared" si="27"/>
        <v>Yes</v>
      </c>
    </row>
    <row r="1794" spans="1:6" x14ac:dyDescent="0.3">
      <c r="A1794" s="9" t="s">
        <v>36</v>
      </c>
      <c r="B1794" s="9" t="s">
        <v>39</v>
      </c>
      <c r="C1794" s="9" t="s">
        <v>40</v>
      </c>
      <c r="D1794" s="9">
        <v>16</v>
      </c>
      <c r="E1794" s="11" t="s">
        <v>106</v>
      </c>
      <c r="F1794" s="11" t="str">
        <f t="shared" ref="F1794:F1837" si="28">IF(E1794="Standalone","Yes",IF(AND(E1794="Total",OR(B1794="Kidnapping &amp; Abduction (Total)",B1794="Rape (Total)",B1794="Attempt to Rape (Total)",B1794="Assault to Outrage Modesty (Total)",B1794="Insult to Modesty (Total)",B1794="Immoral Traffic (Prevention) Act (Total)",B1794="Women-Centric Cyber Crime (Total)",B1794="POCSO (Protection of Children from Sexual Offences Act) (Total)")),"Yes","No"))</f>
        <v>Yes</v>
      </c>
    </row>
    <row r="1795" spans="1:6" x14ac:dyDescent="0.3">
      <c r="A1795" s="9" t="s">
        <v>36</v>
      </c>
      <c r="B1795" s="9" t="s">
        <v>40</v>
      </c>
      <c r="C1795" s="9" t="s">
        <v>40</v>
      </c>
      <c r="D1795" s="9">
        <v>15</v>
      </c>
      <c r="E1795" s="11" t="s">
        <v>107</v>
      </c>
      <c r="F1795" s="11" t="str">
        <f t="shared" si="28"/>
        <v>No</v>
      </c>
    </row>
    <row r="1796" spans="1:6" x14ac:dyDescent="0.3">
      <c r="A1796" s="9" t="s">
        <v>36</v>
      </c>
      <c r="B1796" s="9" t="s">
        <v>41</v>
      </c>
      <c r="C1796" s="9" t="s">
        <v>40</v>
      </c>
      <c r="D1796" s="9">
        <v>0</v>
      </c>
      <c r="E1796" s="11" t="s">
        <v>107</v>
      </c>
      <c r="F1796" s="11" t="str">
        <f t="shared" si="28"/>
        <v>No</v>
      </c>
    </row>
    <row r="1797" spans="1:6" x14ac:dyDescent="0.3">
      <c r="A1797" s="9" t="s">
        <v>36</v>
      </c>
      <c r="B1797" s="9" t="s">
        <v>42</v>
      </c>
      <c r="C1797" s="9" t="s">
        <v>40</v>
      </c>
      <c r="D1797" s="9">
        <v>0</v>
      </c>
      <c r="E1797" s="11" t="s">
        <v>107</v>
      </c>
      <c r="F1797" s="11" t="str">
        <f t="shared" si="28"/>
        <v>No</v>
      </c>
    </row>
    <row r="1798" spans="1:6" x14ac:dyDescent="0.3">
      <c r="A1798" s="9" t="s">
        <v>36</v>
      </c>
      <c r="B1798" s="9" t="s">
        <v>43</v>
      </c>
      <c r="C1798" s="9" t="s">
        <v>40</v>
      </c>
      <c r="D1798" s="9">
        <v>0</v>
      </c>
      <c r="E1798" s="11" t="s">
        <v>106</v>
      </c>
      <c r="F1798" s="11" t="str">
        <f t="shared" si="28"/>
        <v>No</v>
      </c>
    </row>
    <row r="1799" spans="1:6" x14ac:dyDescent="0.3">
      <c r="A1799" s="9" t="s">
        <v>36</v>
      </c>
      <c r="B1799" s="9" t="s">
        <v>44</v>
      </c>
      <c r="C1799" s="9" t="s">
        <v>40</v>
      </c>
      <c r="D1799" s="9">
        <v>0</v>
      </c>
      <c r="E1799" s="11" t="s">
        <v>107</v>
      </c>
      <c r="F1799" s="11" t="str">
        <f t="shared" si="28"/>
        <v>No</v>
      </c>
    </row>
    <row r="1800" spans="1:6" x14ac:dyDescent="0.3">
      <c r="A1800" s="9" t="s">
        <v>36</v>
      </c>
      <c r="B1800" s="9" t="s">
        <v>45</v>
      </c>
      <c r="C1800" s="9" t="s">
        <v>40</v>
      </c>
      <c r="D1800" s="9">
        <v>0</v>
      </c>
      <c r="E1800" s="11" t="s">
        <v>107</v>
      </c>
      <c r="F1800" s="11" t="str">
        <f t="shared" si="28"/>
        <v>No</v>
      </c>
    </row>
    <row r="1801" spans="1:6" x14ac:dyDescent="0.3">
      <c r="A1801" s="9" t="s">
        <v>36</v>
      </c>
      <c r="B1801" s="9" t="s">
        <v>71</v>
      </c>
      <c r="C1801" s="9" t="s">
        <v>40</v>
      </c>
      <c r="D1801" s="9">
        <v>0</v>
      </c>
      <c r="E1801" s="11" t="s">
        <v>105</v>
      </c>
      <c r="F1801" s="11" t="str">
        <f t="shared" si="28"/>
        <v>Yes</v>
      </c>
    </row>
    <row r="1802" spans="1:6" x14ac:dyDescent="0.3">
      <c r="A1802" s="9" t="s">
        <v>36</v>
      </c>
      <c r="B1802" s="9" t="s">
        <v>72</v>
      </c>
      <c r="C1802" s="9" t="s">
        <v>40</v>
      </c>
      <c r="D1802" s="9">
        <v>0</v>
      </c>
      <c r="E1802" s="11" t="s">
        <v>105</v>
      </c>
      <c r="F1802" s="11" t="str">
        <f t="shared" si="28"/>
        <v>Yes</v>
      </c>
    </row>
    <row r="1803" spans="1:6" x14ac:dyDescent="0.3">
      <c r="A1803" s="9" t="s">
        <v>36</v>
      </c>
      <c r="B1803" s="9" t="s">
        <v>82</v>
      </c>
      <c r="C1803" s="9" t="s">
        <v>40</v>
      </c>
      <c r="D1803" s="9">
        <v>1</v>
      </c>
      <c r="E1803" s="11" t="s">
        <v>105</v>
      </c>
      <c r="F1803" s="11" t="str">
        <f t="shared" si="28"/>
        <v>Yes</v>
      </c>
    </row>
    <row r="1804" spans="1:6" x14ac:dyDescent="0.3">
      <c r="A1804" s="9" t="s">
        <v>36</v>
      </c>
      <c r="B1804" s="9" t="s">
        <v>81</v>
      </c>
      <c r="C1804" s="9" t="s">
        <v>81</v>
      </c>
      <c r="D1804" s="9">
        <v>15</v>
      </c>
      <c r="E1804" s="11" t="s">
        <v>105</v>
      </c>
      <c r="F1804" s="11" t="str">
        <f t="shared" si="28"/>
        <v>Yes</v>
      </c>
    </row>
    <row r="1805" spans="1:6" x14ac:dyDescent="0.3">
      <c r="A1805" s="9" t="s">
        <v>36</v>
      </c>
      <c r="B1805" s="9" t="s">
        <v>73</v>
      </c>
      <c r="C1805" s="9" t="s">
        <v>81</v>
      </c>
      <c r="D1805" s="9">
        <v>0</v>
      </c>
      <c r="E1805" s="11" t="s">
        <v>105</v>
      </c>
      <c r="F1805" s="11" t="str">
        <f t="shared" si="28"/>
        <v>Yes</v>
      </c>
    </row>
    <row r="1806" spans="1:6" x14ac:dyDescent="0.3">
      <c r="A1806" s="9" t="s">
        <v>36</v>
      </c>
      <c r="B1806" s="9" t="s">
        <v>80</v>
      </c>
      <c r="C1806" s="9" t="s">
        <v>81</v>
      </c>
      <c r="D1806" s="9">
        <v>0</v>
      </c>
      <c r="E1806" s="11" t="s">
        <v>105</v>
      </c>
      <c r="F1806" s="11" t="str">
        <f t="shared" si="28"/>
        <v>Yes</v>
      </c>
    </row>
    <row r="1807" spans="1:6" x14ac:dyDescent="0.3">
      <c r="A1807" s="9" t="s">
        <v>36</v>
      </c>
      <c r="B1807" s="9" t="s">
        <v>79</v>
      </c>
      <c r="C1807" s="9" t="s">
        <v>96</v>
      </c>
      <c r="D1807" s="9">
        <v>9</v>
      </c>
      <c r="E1807" s="11" t="s">
        <v>106</v>
      </c>
      <c r="F1807" s="11" t="str">
        <f t="shared" si="28"/>
        <v>Yes</v>
      </c>
    </row>
    <row r="1808" spans="1:6" x14ac:dyDescent="0.3">
      <c r="A1808" s="9" t="s">
        <v>36</v>
      </c>
      <c r="B1808" s="9" t="s">
        <v>46</v>
      </c>
      <c r="C1808" s="9" t="s">
        <v>96</v>
      </c>
      <c r="D1808" s="9">
        <v>9</v>
      </c>
      <c r="E1808" s="11" t="s">
        <v>107</v>
      </c>
      <c r="F1808" s="11" t="str">
        <f t="shared" si="28"/>
        <v>No</v>
      </c>
    </row>
    <row r="1809" spans="1:6" x14ac:dyDescent="0.3">
      <c r="A1809" s="9" t="s">
        <v>36</v>
      </c>
      <c r="B1809" s="9" t="s">
        <v>47</v>
      </c>
      <c r="C1809" s="9" t="s">
        <v>96</v>
      </c>
      <c r="D1809" s="9">
        <v>0</v>
      </c>
      <c r="E1809" s="11" t="s">
        <v>107</v>
      </c>
      <c r="F1809" s="11" t="str">
        <f t="shared" si="28"/>
        <v>No</v>
      </c>
    </row>
    <row r="1810" spans="1:6" x14ac:dyDescent="0.3">
      <c r="A1810" s="9" t="s">
        <v>36</v>
      </c>
      <c r="B1810" s="9" t="s">
        <v>48</v>
      </c>
      <c r="C1810" s="9" t="s">
        <v>97</v>
      </c>
      <c r="D1810" s="9">
        <v>1</v>
      </c>
      <c r="E1810" s="11" t="s">
        <v>106</v>
      </c>
      <c r="F1810" s="11" t="str">
        <f t="shared" si="28"/>
        <v>Yes</v>
      </c>
    </row>
    <row r="1811" spans="1:6" x14ac:dyDescent="0.3">
      <c r="A1811" s="9" t="s">
        <v>36</v>
      </c>
      <c r="B1811" s="9" t="s">
        <v>49</v>
      </c>
      <c r="C1811" s="9" t="s">
        <v>97</v>
      </c>
      <c r="D1811" s="9">
        <v>1</v>
      </c>
      <c r="E1811" s="11" t="s">
        <v>107</v>
      </c>
      <c r="F1811" s="11" t="str">
        <f t="shared" si="28"/>
        <v>No</v>
      </c>
    </row>
    <row r="1812" spans="1:6" x14ac:dyDescent="0.3">
      <c r="A1812" s="9" t="s">
        <v>36</v>
      </c>
      <c r="B1812" s="9" t="s">
        <v>50</v>
      </c>
      <c r="C1812" s="9" t="s">
        <v>97</v>
      </c>
      <c r="D1812" s="9">
        <v>0</v>
      </c>
      <c r="E1812" s="11" t="s">
        <v>107</v>
      </c>
      <c r="F1812" s="11" t="str">
        <f t="shared" si="28"/>
        <v>No</v>
      </c>
    </row>
    <row r="1813" spans="1:6" x14ac:dyDescent="0.3">
      <c r="A1813" s="9" t="s">
        <v>36</v>
      </c>
      <c r="B1813" s="9" t="s">
        <v>51</v>
      </c>
      <c r="C1813" s="9" t="s">
        <v>99</v>
      </c>
      <c r="D1813" s="9">
        <v>30</v>
      </c>
      <c r="E1813" s="11" t="s">
        <v>106</v>
      </c>
      <c r="F1813" s="11" t="str">
        <f t="shared" si="28"/>
        <v>Yes</v>
      </c>
    </row>
    <row r="1814" spans="1:6" x14ac:dyDescent="0.3">
      <c r="A1814" s="9" t="s">
        <v>36</v>
      </c>
      <c r="B1814" s="9" t="s">
        <v>52</v>
      </c>
      <c r="C1814" s="9" t="s">
        <v>99</v>
      </c>
      <c r="D1814" s="9">
        <v>30</v>
      </c>
      <c r="E1814" s="11" t="s">
        <v>107</v>
      </c>
      <c r="F1814" s="11" t="str">
        <f t="shared" si="28"/>
        <v>No</v>
      </c>
    </row>
    <row r="1815" spans="1:6" x14ac:dyDescent="0.3">
      <c r="A1815" s="9" t="s">
        <v>36</v>
      </c>
      <c r="B1815" s="9" t="s">
        <v>53</v>
      </c>
      <c r="C1815" s="9" t="s">
        <v>99</v>
      </c>
      <c r="D1815" s="9">
        <v>0</v>
      </c>
      <c r="E1815" s="11" t="s">
        <v>107</v>
      </c>
      <c r="F1815" s="11" t="str">
        <f t="shared" si="28"/>
        <v>No</v>
      </c>
    </row>
    <row r="1816" spans="1:6" x14ac:dyDescent="0.3">
      <c r="A1816" s="9" t="s">
        <v>36</v>
      </c>
      <c r="B1816" s="9" t="s">
        <v>54</v>
      </c>
      <c r="C1816" s="9" t="s">
        <v>98</v>
      </c>
      <c r="D1816" s="9">
        <v>9</v>
      </c>
      <c r="E1816" s="11" t="s">
        <v>106</v>
      </c>
      <c r="F1816" s="11" t="str">
        <f t="shared" si="28"/>
        <v>Yes</v>
      </c>
    </row>
    <row r="1817" spans="1:6" x14ac:dyDescent="0.3">
      <c r="A1817" s="9" t="s">
        <v>36</v>
      </c>
      <c r="B1817" s="9" t="s">
        <v>55</v>
      </c>
      <c r="C1817" s="9" t="s">
        <v>98</v>
      </c>
      <c r="D1817" s="9">
        <v>9</v>
      </c>
      <c r="E1817" s="11" t="s">
        <v>107</v>
      </c>
      <c r="F1817" s="11" t="str">
        <f t="shared" si="28"/>
        <v>No</v>
      </c>
    </row>
    <row r="1818" spans="1:6" x14ac:dyDescent="0.3">
      <c r="A1818" s="9" t="s">
        <v>36</v>
      </c>
      <c r="B1818" s="9" t="s">
        <v>56</v>
      </c>
      <c r="C1818" s="9" t="s">
        <v>98</v>
      </c>
      <c r="D1818" s="9">
        <v>0</v>
      </c>
      <c r="E1818" s="11" t="s">
        <v>107</v>
      </c>
      <c r="F1818" s="11" t="str">
        <f t="shared" si="28"/>
        <v>No</v>
      </c>
    </row>
    <row r="1819" spans="1:6" x14ac:dyDescent="0.3">
      <c r="A1819" s="9" t="s">
        <v>36</v>
      </c>
      <c r="B1819" s="9" t="s">
        <v>74</v>
      </c>
      <c r="C1819" s="9" t="s">
        <v>74</v>
      </c>
      <c r="D1819" s="9">
        <v>14</v>
      </c>
      <c r="E1819" s="11" t="s">
        <v>105</v>
      </c>
      <c r="F1819" s="11" t="str">
        <f t="shared" si="28"/>
        <v>Yes</v>
      </c>
    </row>
    <row r="1820" spans="1:6" x14ac:dyDescent="0.3">
      <c r="A1820" s="9" t="s">
        <v>36</v>
      </c>
      <c r="B1820" s="9" t="s">
        <v>57</v>
      </c>
      <c r="C1820" s="9" t="s">
        <v>100</v>
      </c>
      <c r="D1820" s="9">
        <v>3</v>
      </c>
      <c r="E1820" s="11" t="s">
        <v>106</v>
      </c>
      <c r="F1820" s="11" t="str">
        <f t="shared" si="28"/>
        <v>Yes</v>
      </c>
    </row>
    <row r="1821" spans="1:6" x14ac:dyDescent="0.3">
      <c r="A1821" s="9" t="s">
        <v>36</v>
      </c>
      <c r="B1821" s="9" t="s">
        <v>76</v>
      </c>
      <c r="C1821" s="9" t="s">
        <v>100</v>
      </c>
      <c r="D1821" s="9">
        <v>0</v>
      </c>
      <c r="E1821" s="11" t="s">
        <v>107</v>
      </c>
      <c r="F1821" s="11" t="str">
        <f t="shared" si="28"/>
        <v>No</v>
      </c>
    </row>
    <row r="1822" spans="1:6" x14ac:dyDescent="0.3">
      <c r="A1822" s="9" t="s">
        <v>36</v>
      </c>
      <c r="B1822" s="9" t="s">
        <v>58</v>
      </c>
      <c r="C1822" s="9" t="s">
        <v>100</v>
      </c>
      <c r="D1822" s="9">
        <v>0</v>
      </c>
      <c r="E1822" s="11" t="s">
        <v>107</v>
      </c>
      <c r="F1822" s="11" t="str">
        <f t="shared" si="28"/>
        <v>No</v>
      </c>
    </row>
    <row r="1823" spans="1:6" x14ac:dyDescent="0.3">
      <c r="A1823" s="9" t="s">
        <v>36</v>
      </c>
      <c r="B1823" s="9" t="s">
        <v>59</v>
      </c>
      <c r="C1823" s="9" t="s">
        <v>100</v>
      </c>
      <c r="D1823" s="9">
        <v>0</v>
      </c>
      <c r="E1823" s="11" t="s">
        <v>107</v>
      </c>
      <c r="F1823" s="11" t="str">
        <f t="shared" si="28"/>
        <v>No</v>
      </c>
    </row>
    <row r="1824" spans="1:6" x14ac:dyDescent="0.3">
      <c r="A1824" s="9" t="s">
        <v>36</v>
      </c>
      <c r="B1824" s="9" t="s">
        <v>60</v>
      </c>
      <c r="C1824" s="9" t="s">
        <v>100</v>
      </c>
      <c r="D1824" s="9">
        <v>0</v>
      </c>
      <c r="E1824" s="11" t="s">
        <v>107</v>
      </c>
      <c r="F1824" s="11" t="str">
        <f t="shared" si="28"/>
        <v>No</v>
      </c>
    </row>
    <row r="1825" spans="1:6" x14ac:dyDescent="0.3">
      <c r="A1825" s="9" t="s">
        <v>36</v>
      </c>
      <c r="B1825" s="9" t="s">
        <v>61</v>
      </c>
      <c r="C1825" s="9" t="s">
        <v>100</v>
      </c>
      <c r="D1825" s="9">
        <v>3</v>
      </c>
      <c r="E1825" s="11" t="s">
        <v>107</v>
      </c>
      <c r="F1825" s="11" t="str">
        <f t="shared" si="28"/>
        <v>No</v>
      </c>
    </row>
    <row r="1826" spans="1:6" x14ac:dyDescent="0.3">
      <c r="A1826" s="9" t="s">
        <v>36</v>
      </c>
      <c r="B1826" s="9" t="s">
        <v>78</v>
      </c>
      <c r="C1826" s="9" t="s">
        <v>95</v>
      </c>
      <c r="D1826" s="9">
        <v>0</v>
      </c>
      <c r="E1826" s="11" t="s">
        <v>105</v>
      </c>
      <c r="F1826" s="11" t="str">
        <f t="shared" si="28"/>
        <v>Yes</v>
      </c>
    </row>
    <row r="1827" spans="1:6" x14ac:dyDescent="0.3">
      <c r="A1827" s="9" t="s">
        <v>36</v>
      </c>
      <c r="B1827" s="9" t="s">
        <v>62</v>
      </c>
      <c r="C1827" s="9" t="s">
        <v>101</v>
      </c>
      <c r="D1827" s="9">
        <v>10</v>
      </c>
      <c r="E1827" s="11" t="s">
        <v>106</v>
      </c>
      <c r="F1827" s="11" t="str">
        <f t="shared" si="28"/>
        <v>Yes</v>
      </c>
    </row>
    <row r="1828" spans="1:6" x14ac:dyDescent="0.3">
      <c r="A1828" s="9" t="s">
        <v>36</v>
      </c>
      <c r="B1828" s="9" t="s">
        <v>63</v>
      </c>
      <c r="C1828" s="9" t="s">
        <v>101</v>
      </c>
      <c r="D1828" s="9">
        <v>10</v>
      </c>
      <c r="E1828" s="11" t="s">
        <v>107</v>
      </c>
      <c r="F1828" s="11" t="str">
        <f t="shared" si="28"/>
        <v>No</v>
      </c>
    </row>
    <row r="1829" spans="1:6" x14ac:dyDescent="0.3">
      <c r="A1829" s="9" t="s">
        <v>36</v>
      </c>
      <c r="B1829" s="9" t="s">
        <v>64</v>
      </c>
      <c r="C1829" s="9" t="s">
        <v>101</v>
      </c>
      <c r="D1829" s="9">
        <v>0</v>
      </c>
      <c r="E1829" s="11" t="s">
        <v>107</v>
      </c>
      <c r="F1829" s="11" t="str">
        <f t="shared" si="28"/>
        <v>No</v>
      </c>
    </row>
    <row r="1830" spans="1:6" x14ac:dyDescent="0.3">
      <c r="A1830" s="9" t="s">
        <v>36</v>
      </c>
      <c r="B1830" s="9" t="s">
        <v>77</v>
      </c>
      <c r="C1830" s="9" t="s">
        <v>102</v>
      </c>
      <c r="D1830" s="9">
        <v>91</v>
      </c>
      <c r="E1830" s="11" t="s">
        <v>106</v>
      </c>
      <c r="F1830" s="11" t="str">
        <f t="shared" si="28"/>
        <v>Yes</v>
      </c>
    </row>
    <row r="1831" spans="1:6" x14ac:dyDescent="0.3">
      <c r="A1831" s="9" t="s">
        <v>36</v>
      </c>
      <c r="B1831" s="9" t="s">
        <v>65</v>
      </c>
      <c r="C1831" s="9" t="s">
        <v>102</v>
      </c>
      <c r="D1831" s="9">
        <v>56</v>
      </c>
      <c r="E1831" s="11" t="s">
        <v>107</v>
      </c>
      <c r="F1831" s="11" t="str">
        <f t="shared" si="28"/>
        <v>No</v>
      </c>
    </row>
    <row r="1832" spans="1:6" x14ac:dyDescent="0.3">
      <c r="A1832" s="9" t="s">
        <v>36</v>
      </c>
      <c r="B1832" s="9" t="s">
        <v>66</v>
      </c>
      <c r="C1832" s="9" t="s">
        <v>102</v>
      </c>
      <c r="D1832" s="9">
        <v>25</v>
      </c>
      <c r="E1832" s="11" t="s">
        <v>107</v>
      </c>
      <c r="F1832" s="11" t="str">
        <f t="shared" si="28"/>
        <v>No</v>
      </c>
    </row>
    <row r="1833" spans="1:6" x14ac:dyDescent="0.3">
      <c r="A1833" s="9" t="s">
        <v>36</v>
      </c>
      <c r="B1833" s="9" t="s">
        <v>67</v>
      </c>
      <c r="C1833" s="9" t="s">
        <v>102</v>
      </c>
      <c r="D1833" s="9">
        <v>10</v>
      </c>
      <c r="E1833" s="11" t="s">
        <v>107</v>
      </c>
      <c r="F1833" s="11" t="str">
        <f t="shared" si="28"/>
        <v>No</v>
      </c>
    </row>
    <row r="1834" spans="1:6" x14ac:dyDescent="0.3">
      <c r="A1834" s="9" t="s">
        <v>36</v>
      </c>
      <c r="B1834" s="9" t="s">
        <v>68</v>
      </c>
      <c r="C1834" s="9" t="s">
        <v>102</v>
      </c>
      <c r="D1834" s="9">
        <v>0</v>
      </c>
      <c r="E1834" s="11" t="s">
        <v>107</v>
      </c>
      <c r="F1834" s="11" t="str">
        <f t="shared" si="28"/>
        <v>No</v>
      </c>
    </row>
    <row r="1835" spans="1:6" x14ac:dyDescent="0.3">
      <c r="A1835" s="9" t="s">
        <v>36</v>
      </c>
      <c r="B1835" s="9" t="s">
        <v>69</v>
      </c>
      <c r="C1835" s="9" t="s">
        <v>102</v>
      </c>
      <c r="D1835" s="9">
        <v>0</v>
      </c>
      <c r="E1835" s="11" t="s">
        <v>107</v>
      </c>
      <c r="F1835" s="11" t="str">
        <f t="shared" si="28"/>
        <v>No</v>
      </c>
    </row>
    <row r="1836" spans="1:6" x14ac:dyDescent="0.3">
      <c r="A1836" s="9" t="s">
        <v>36</v>
      </c>
      <c r="B1836" s="9" t="s">
        <v>70</v>
      </c>
      <c r="C1836" s="9" t="s">
        <v>102</v>
      </c>
      <c r="D1836" s="9">
        <v>0</v>
      </c>
      <c r="E1836" s="11" t="s">
        <v>107</v>
      </c>
      <c r="F1836" s="11" t="str">
        <f t="shared" si="28"/>
        <v>No</v>
      </c>
    </row>
    <row r="1837" spans="1:6" x14ac:dyDescent="0.3">
      <c r="A1837" s="9" t="s">
        <v>36</v>
      </c>
      <c r="B1837" s="9" t="s">
        <v>75</v>
      </c>
      <c r="C1837" s="9" t="s">
        <v>103</v>
      </c>
      <c r="D1837" s="9">
        <v>0</v>
      </c>
      <c r="E1837" s="11" t="s">
        <v>105</v>
      </c>
      <c r="F1837" s="11" t="str">
        <f t="shared" si="28"/>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7"/>
  <sheetViews>
    <sheetView topLeftCell="A28" zoomScaleNormal="100" workbookViewId="0">
      <selection activeCell="C52" sqref="C52"/>
    </sheetView>
  </sheetViews>
  <sheetFormatPr defaultRowHeight="14.4" x14ac:dyDescent="0.3"/>
  <cols>
    <col min="1" max="1" width="20.21875" style="10" bestFit="1" customWidth="1"/>
    <col min="2" max="2" width="25" style="10" bestFit="1" customWidth="1"/>
    <col min="3" max="3" width="17.5546875" style="10" bestFit="1" customWidth="1"/>
    <col min="4" max="4" width="7.88671875" style="10" bestFit="1" customWidth="1"/>
    <col min="5" max="5" width="21.33203125" style="10" customWidth="1"/>
    <col min="6" max="6" width="14" style="10" customWidth="1"/>
    <col min="7" max="7" width="17.5546875" style="10" bestFit="1" customWidth="1"/>
    <col min="8" max="8" width="7.109375" style="10" customWidth="1"/>
    <col min="9" max="9" width="54" style="10" customWidth="1"/>
    <col min="10" max="10" width="14" style="10" customWidth="1"/>
    <col min="11" max="11" width="17.5546875" style="10" customWidth="1"/>
    <col min="12" max="12" width="6.77734375" style="10" customWidth="1"/>
    <col min="13" max="13" width="37" style="10" customWidth="1"/>
    <col min="14" max="14" width="18.33203125" style="10" customWidth="1"/>
    <col min="15" max="15" width="10.5546875" style="10" bestFit="1" customWidth="1"/>
    <col min="16" max="16" width="16.88671875" style="10" bestFit="1" customWidth="1"/>
    <col min="17" max="17" width="15" style="10" bestFit="1" customWidth="1"/>
    <col min="18" max="18" width="11.21875" style="10" bestFit="1" customWidth="1"/>
    <col min="19" max="19" width="16.5546875" style="10" bestFit="1" customWidth="1"/>
    <col min="20" max="20" width="11.88671875" style="10" bestFit="1" customWidth="1"/>
    <col min="21" max="21" width="19.6640625" style="10" bestFit="1" customWidth="1"/>
    <col min="22" max="22" width="16.5546875" style="10" bestFit="1" customWidth="1"/>
    <col min="23" max="23" width="14" style="10" bestFit="1" customWidth="1"/>
    <col min="24" max="24" width="22" style="10" bestFit="1" customWidth="1"/>
    <col min="25" max="25" width="15.88671875" style="10" bestFit="1" customWidth="1"/>
    <col min="26" max="26" width="22" style="10" bestFit="1" customWidth="1"/>
    <col min="27" max="27" width="10.6640625" style="10" bestFit="1" customWidth="1"/>
    <col min="28" max="28" width="16.21875" style="10" bestFit="1" customWidth="1"/>
    <col min="29" max="29" width="6.88671875" style="10" customWidth="1"/>
    <col min="30" max="30" width="5.21875" style="10" customWidth="1"/>
    <col min="31" max="31" width="10.77734375" style="10" bestFit="1" customWidth="1"/>
    <col min="32" max="32" width="34.88671875" style="10" bestFit="1" customWidth="1"/>
    <col min="33" max="33" width="24.6640625" style="10" bestFit="1" customWidth="1"/>
    <col min="34" max="34" width="27.88671875" style="10" bestFit="1" customWidth="1"/>
    <col min="35" max="35" width="22.109375" style="10" bestFit="1" customWidth="1"/>
    <col min="36" max="36" width="22" style="10" bestFit="1" customWidth="1"/>
    <col min="37" max="37" width="28.109375" style="10" bestFit="1" customWidth="1"/>
    <col min="38" max="38" width="33.6640625" style="10" bestFit="1" customWidth="1"/>
    <col min="39" max="39" width="30.5546875" style="10" bestFit="1" customWidth="1"/>
    <col min="40" max="40" width="33.77734375" style="10" bestFit="1" customWidth="1"/>
    <col min="41" max="41" width="27.88671875" style="10" bestFit="1" customWidth="1"/>
    <col min="42" max="42" width="20.44140625" style="10" bestFit="1" customWidth="1"/>
    <col min="43" max="43" width="33.33203125" style="10" bestFit="1" customWidth="1"/>
    <col min="44" max="44" width="20.88671875" style="10" bestFit="1" customWidth="1"/>
    <col min="45" max="45" width="10.6640625" style="10" bestFit="1" customWidth="1"/>
    <col min="46" max="46" width="26.44140625" style="10" bestFit="1" customWidth="1"/>
    <col min="47" max="47" width="21.109375" style="10" bestFit="1" customWidth="1"/>
    <col min="48" max="48" width="30.6640625" style="10" bestFit="1" customWidth="1"/>
    <col min="49" max="49" width="24.44140625" style="10" bestFit="1" customWidth="1"/>
    <col min="50" max="50" width="17.5546875" style="10" bestFit="1" customWidth="1"/>
    <col min="51" max="51" width="21.44140625" style="10" bestFit="1" customWidth="1"/>
    <col min="52" max="52" width="20.5546875" style="10" bestFit="1" customWidth="1"/>
    <col min="53" max="53" width="24.5546875" style="10" bestFit="1" customWidth="1"/>
    <col min="54" max="54" width="25.109375" style="10" bestFit="1" customWidth="1"/>
    <col min="55" max="55" width="55.88671875" style="10" bestFit="1" customWidth="1"/>
    <col min="56" max="56" width="23.77734375" style="10" bestFit="1" customWidth="1"/>
    <col min="57" max="57" width="13.88671875" style="10" bestFit="1" customWidth="1"/>
    <col min="58" max="58" width="17" style="10" bestFit="1" customWidth="1"/>
    <col min="59" max="59" width="11.21875" style="10" bestFit="1" customWidth="1"/>
    <col min="60" max="60" width="16.6640625" style="10" bestFit="1" customWidth="1"/>
    <col min="61" max="61" width="31.44140625" style="10" bestFit="1" customWidth="1"/>
    <col min="62" max="62" width="10.77734375" style="10" bestFit="1" customWidth="1"/>
    <col min="63" max="16384" width="8.88671875" style="10"/>
  </cols>
  <sheetData>
    <row r="1" spans="1:30" ht="28.8" customHeight="1" x14ac:dyDescent="0.35">
      <c r="A1" s="59" t="s">
        <v>110</v>
      </c>
      <c r="B1" s="59"/>
      <c r="C1" s="59"/>
      <c r="E1" s="59" t="s">
        <v>111</v>
      </c>
      <c r="F1" s="59"/>
      <c r="G1" s="59"/>
      <c r="I1" s="59" t="s">
        <v>181</v>
      </c>
      <c r="J1" s="59"/>
      <c r="K1" s="59"/>
      <c r="M1" s="59" t="s">
        <v>112</v>
      </c>
      <c r="N1" s="59"/>
      <c r="O1" s="59"/>
      <c r="P1" s="59"/>
      <c r="Q1" s="59"/>
      <c r="R1" s="59"/>
      <c r="S1" s="59"/>
      <c r="T1" s="59"/>
      <c r="U1" s="59"/>
      <c r="V1" s="59"/>
      <c r="W1" s="59"/>
      <c r="X1" s="59"/>
      <c r="Y1" s="59"/>
      <c r="Z1" s="59"/>
      <c r="AA1" s="59"/>
      <c r="AB1" s="59"/>
      <c r="AC1" s="59"/>
      <c r="AD1" s="59"/>
    </row>
    <row r="3" spans="1:30" ht="18" x14ac:dyDescent="0.35">
      <c r="A3" s="57" t="s">
        <v>173</v>
      </c>
      <c r="B3" s="58" t="s">
        <v>174</v>
      </c>
      <c r="C3" s="16"/>
      <c r="E3" s="12" t="s">
        <v>173</v>
      </c>
      <c r="F3" s="10" t="s">
        <v>174</v>
      </c>
      <c r="G3" s="52"/>
      <c r="I3" s="49" t="s">
        <v>173</v>
      </c>
      <c r="J3" t="s">
        <v>174</v>
      </c>
      <c r="K3" s="16"/>
      <c r="M3" s="57" t="s">
        <v>173</v>
      </c>
      <c r="N3" s="58" t="s">
        <v>174</v>
      </c>
      <c r="O3" s="52"/>
      <c r="P3" s="52"/>
      <c r="Q3" s="52"/>
      <c r="R3" s="52"/>
      <c r="S3" s="52"/>
      <c r="T3" s="52"/>
      <c r="U3" s="52"/>
      <c r="V3" s="52"/>
      <c r="W3" s="52"/>
      <c r="X3" s="52"/>
      <c r="Y3" s="52"/>
      <c r="Z3" s="52"/>
      <c r="AA3" s="52"/>
      <c r="AB3" s="52"/>
      <c r="AC3" s="52"/>
      <c r="AD3" s="52"/>
    </row>
    <row r="5" spans="1:30" x14ac:dyDescent="0.3">
      <c r="A5" s="57" t="s">
        <v>0</v>
      </c>
      <c r="B5" s="58" t="s">
        <v>109</v>
      </c>
      <c r="C5" s="58" t="s">
        <v>108</v>
      </c>
      <c r="E5" s="12" t="s">
        <v>91</v>
      </c>
      <c r="F5" s="10" t="s">
        <v>109</v>
      </c>
      <c r="G5" s="10" t="s">
        <v>108</v>
      </c>
      <c r="I5" s="49" t="s">
        <v>180</v>
      </c>
      <c r="J5" t="s">
        <v>109</v>
      </c>
      <c r="K5" t="s">
        <v>108</v>
      </c>
      <c r="M5" s="57" t="s">
        <v>109</v>
      </c>
      <c r="N5" s="57" t="s">
        <v>91</v>
      </c>
      <c r="O5" s="58"/>
      <c r="P5" s="58"/>
      <c r="Q5" s="58"/>
      <c r="R5" s="58"/>
      <c r="S5" s="58"/>
      <c r="T5" s="58"/>
      <c r="U5" s="58"/>
      <c r="V5" s="58"/>
      <c r="W5" s="58"/>
      <c r="X5" s="58"/>
      <c r="Y5" s="58"/>
      <c r="Z5" s="58"/>
      <c r="AA5" s="58"/>
      <c r="AB5" s="58"/>
      <c r="AC5" s="58"/>
      <c r="AD5" s="58"/>
    </row>
    <row r="6" spans="1:30" x14ac:dyDescent="0.3">
      <c r="A6" s="58" t="s">
        <v>26</v>
      </c>
      <c r="B6" s="13">
        <v>66392</v>
      </c>
      <c r="C6" s="17">
        <v>0.1913220389779175</v>
      </c>
      <c r="E6" s="10" t="s">
        <v>95</v>
      </c>
      <c r="F6" s="14">
        <v>134308</v>
      </c>
      <c r="G6" s="15">
        <v>0.29306654156256479</v>
      </c>
      <c r="I6" s="10" t="s">
        <v>83</v>
      </c>
      <c r="J6" s="50">
        <v>133676</v>
      </c>
      <c r="K6" s="51">
        <v>0.30000381524346864</v>
      </c>
      <c r="M6" s="57" t="s">
        <v>0</v>
      </c>
      <c r="N6" s="58" t="s">
        <v>94</v>
      </c>
      <c r="O6" s="58" t="s">
        <v>85</v>
      </c>
      <c r="P6" s="58" t="s">
        <v>99</v>
      </c>
      <c r="Q6" s="58" t="s">
        <v>97</v>
      </c>
      <c r="R6" s="58" t="s">
        <v>101</v>
      </c>
      <c r="S6" s="58" t="s">
        <v>95</v>
      </c>
      <c r="T6" s="58" t="s">
        <v>93</v>
      </c>
      <c r="U6" s="58" t="s">
        <v>74</v>
      </c>
      <c r="V6" s="58" t="s">
        <v>81</v>
      </c>
      <c r="W6" s="58" t="s">
        <v>100</v>
      </c>
      <c r="X6" s="58" t="s">
        <v>103</v>
      </c>
      <c r="Y6" s="58" t="s">
        <v>98</v>
      </c>
      <c r="Z6" s="58" t="s">
        <v>40</v>
      </c>
      <c r="AA6" s="58" t="s">
        <v>86</v>
      </c>
      <c r="AB6" s="58" t="s">
        <v>92</v>
      </c>
      <c r="AC6" s="58" t="s">
        <v>102</v>
      </c>
      <c r="AD6" s="58" t="s">
        <v>96</v>
      </c>
    </row>
    <row r="7" spans="1:30" x14ac:dyDescent="0.3">
      <c r="A7" s="58" t="s">
        <v>14</v>
      </c>
      <c r="B7" s="13">
        <v>47167</v>
      </c>
      <c r="C7" s="17">
        <v>0.1359212949221508</v>
      </c>
      <c r="E7" s="10" t="s">
        <v>40</v>
      </c>
      <c r="F7" s="14">
        <v>98679</v>
      </c>
      <c r="G7" s="15">
        <v>0.21532234308345244</v>
      </c>
      <c r="I7" s="10" t="s">
        <v>39</v>
      </c>
      <c r="J7" s="50">
        <v>88605</v>
      </c>
      <c r="K7" s="51">
        <v>0.19885273384637137</v>
      </c>
      <c r="M7" s="58" t="s">
        <v>29</v>
      </c>
      <c r="N7" s="13">
        <v>2</v>
      </c>
      <c r="O7" s="13">
        <v>0</v>
      </c>
      <c r="P7" s="13">
        <v>31</v>
      </c>
      <c r="Q7" s="13">
        <v>0</v>
      </c>
      <c r="R7" s="13">
        <v>29</v>
      </c>
      <c r="S7" s="13">
        <v>6</v>
      </c>
      <c r="T7" s="13">
        <v>0</v>
      </c>
      <c r="U7" s="13">
        <v>0</v>
      </c>
      <c r="V7" s="13">
        <v>0</v>
      </c>
      <c r="W7" s="13">
        <v>0</v>
      </c>
      <c r="X7" s="13">
        <v>0</v>
      </c>
      <c r="Y7" s="13">
        <v>12</v>
      </c>
      <c r="Z7" s="13">
        <v>16</v>
      </c>
      <c r="AA7" s="13">
        <v>0</v>
      </c>
      <c r="AB7" s="13">
        <v>0</v>
      </c>
      <c r="AC7" s="13">
        <v>95</v>
      </c>
      <c r="AD7" s="13">
        <v>14</v>
      </c>
    </row>
    <row r="8" spans="1:30" x14ac:dyDescent="0.3">
      <c r="A8" s="58" t="s">
        <v>21</v>
      </c>
      <c r="B8" s="13">
        <v>46887</v>
      </c>
      <c r="C8" s="17">
        <v>0.13511441802562987</v>
      </c>
      <c r="E8" s="10" t="s">
        <v>99</v>
      </c>
      <c r="F8" s="14">
        <v>83891</v>
      </c>
      <c r="G8" s="15">
        <v>0.18305421298973346</v>
      </c>
      <c r="I8" s="10" t="s">
        <v>51</v>
      </c>
      <c r="J8" s="50">
        <v>83891</v>
      </c>
      <c r="K8" s="51">
        <v>0.18827328813391953</v>
      </c>
      <c r="M8" s="58" t="s">
        <v>1</v>
      </c>
      <c r="N8" s="13">
        <v>386</v>
      </c>
      <c r="O8" s="13">
        <v>7</v>
      </c>
      <c r="P8" s="13">
        <v>4930</v>
      </c>
      <c r="Q8" s="13">
        <v>112</v>
      </c>
      <c r="R8" s="13">
        <v>79</v>
      </c>
      <c r="S8" s="13">
        <v>10594</v>
      </c>
      <c r="T8" s="13">
        <v>95</v>
      </c>
      <c r="U8" s="13">
        <v>353</v>
      </c>
      <c r="V8" s="13">
        <v>81</v>
      </c>
      <c r="W8" s="13">
        <v>68</v>
      </c>
      <c r="X8" s="13">
        <v>3</v>
      </c>
      <c r="Y8" s="13">
        <v>2826</v>
      </c>
      <c r="Z8" s="13">
        <v>576</v>
      </c>
      <c r="AA8" s="13">
        <v>10</v>
      </c>
      <c r="AB8" s="13">
        <v>5</v>
      </c>
      <c r="AC8" s="13">
        <v>1907</v>
      </c>
      <c r="AD8" s="13">
        <v>438</v>
      </c>
    </row>
    <row r="9" spans="1:30" x14ac:dyDescent="0.3">
      <c r="A9" s="58" t="s">
        <v>28</v>
      </c>
      <c r="B9" s="13">
        <v>36762</v>
      </c>
      <c r="C9" s="17">
        <v>0.10593717310679304</v>
      </c>
      <c r="E9" s="10" t="s">
        <v>102</v>
      </c>
      <c r="F9" s="14">
        <v>66232</v>
      </c>
      <c r="G9" s="15">
        <v>0.14452142225907461</v>
      </c>
      <c r="I9" s="10" t="s">
        <v>77</v>
      </c>
      <c r="J9" s="50">
        <v>66232</v>
      </c>
      <c r="K9" s="51">
        <v>0.14864188553820742</v>
      </c>
      <c r="M9" s="58" t="s">
        <v>2</v>
      </c>
      <c r="N9" s="13">
        <v>3</v>
      </c>
      <c r="O9" s="13">
        <v>0</v>
      </c>
      <c r="P9" s="13">
        <v>74</v>
      </c>
      <c r="Q9" s="13">
        <v>5</v>
      </c>
      <c r="R9" s="13">
        <v>0</v>
      </c>
      <c r="S9" s="13">
        <v>58</v>
      </c>
      <c r="T9" s="13">
        <v>1</v>
      </c>
      <c r="U9" s="13">
        <v>0</v>
      </c>
      <c r="V9" s="13">
        <v>5</v>
      </c>
      <c r="W9" s="13">
        <v>0</v>
      </c>
      <c r="X9" s="13">
        <v>0</v>
      </c>
      <c r="Y9" s="13">
        <v>16</v>
      </c>
      <c r="Z9" s="13">
        <v>44</v>
      </c>
      <c r="AA9" s="13">
        <v>0</v>
      </c>
      <c r="AB9" s="13">
        <v>0</v>
      </c>
      <c r="AC9" s="13">
        <v>55</v>
      </c>
      <c r="AD9" s="13">
        <v>71</v>
      </c>
    </row>
    <row r="10" spans="1:30" x14ac:dyDescent="0.3">
      <c r="A10" s="58" t="s">
        <v>13</v>
      </c>
      <c r="B10" s="13">
        <v>32389</v>
      </c>
      <c r="C10" s="17">
        <v>9.3335485005057395E-2</v>
      </c>
      <c r="E10" s="10" t="s">
        <v>96</v>
      </c>
      <c r="F10" s="14">
        <v>29670</v>
      </c>
      <c r="G10" s="15">
        <v>6.4741372726578442E-2</v>
      </c>
      <c r="I10" s="10" t="s">
        <v>79</v>
      </c>
      <c r="J10" s="50">
        <v>29670</v>
      </c>
      <c r="K10" s="51">
        <v>6.6587219832084404E-2</v>
      </c>
      <c r="M10" s="58" t="s">
        <v>3</v>
      </c>
      <c r="N10" s="13">
        <v>102</v>
      </c>
      <c r="O10" s="13">
        <v>6</v>
      </c>
      <c r="P10" s="13">
        <v>1595</v>
      </c>
      <c r="Q10" s="13">
        <v>173</v>
      </c>
      <c r="R10" s="13">
        <v>182</v>
      </c>
      <c r="S10" s="13">
        <v>2926</v>
      </c>
      <c r="T10" s="13">
        <v>101</v>
      </c>
      <c r="U10" s="13">
        <v>162</v>
      </c>
      <c r="V10" s="13">
        <v>86</v>
      </c>
      <c r="W10" s="13">
        <v>30</v>
      </c>
      <c r="X10" s="13">
        <v>0</v>
      </c>
      <c r="Y10" s="13">
        <v>42</v>
      </c>
      <c r="Z10" s="13">
        <v>4186</v>
      </c>
      <c r="AA10" s="13">
        <v>4</v>
      </c>
      <c r="AB10" s="13">
        <v>13</v>
      </c>
      <c r="AC10" s="13">
        <v>2549</v>
      </c>
      <c r="AD10" s="13">
        <v>989</v>
      </c>
    </row>
    <row r="11" spans="1:30" x14ac:dyDescent="0.3">
      <c r="A11" s="58" t="s">
        <v>19</v>
      </c>
      <c r="B11" s="13">
        <v>26052</v>
      </c>
      <c r="C11" s="17">
        <v>7.5074131814867856E-2</v>
      </c>
      <c r="E11" s="10" t="s">
        <v>74</v>
      </c>
      <c r="F11" s="14">
        <v>15489</v>
      </c>
      <c r="G11" s="15">
        <v>3.3797745944117746E-2</v>
      </c>
      <c r="I11" s="10" t="s">
        <v>74</v>
      </c>
      <c r="J11" s="50">
        <v>15489</v>
      </c>
      <c r="K11" s="51">
        <v>3.4761356521036582E-2</v>
      </c>
      <c r="M11" s="58" t="s">
        <v>4</v>
      </c>
      <c r="N11" s="13">
        <v>3</v>
      </c>
      <c r="O11" s="13">
        <v>5</v>
      </c>
      <c r="P11" s="13">
        <v>472</v>
      </c>
      <c r="Q11" s="13">
        <v>47</v>
      </c>
      <c r="R11" s="13">
        <v>100</v>
      </c>
      <c r="S11" s="13">
        <v>2033</v>
      </c>
      <c r="T11" s="13">
        <v>1143</v>
      </c>
      <c r="U11" s="13">
        <v>3665</v>
      </c>
      <c r="V11" s="13">
        <v>28</v>
      </c>
      <c r="W11" s="13">
        <v>58</v>
      </c>
      <c r="X11" s="13">
        <v>2</v>
      </c>
      <c r="Y11" s="13">
        <v>47</v>
      </c>
      <c r="Z11" s="13">
        <v>13929</v>
      </c>
      <c r="AA11" s="13">
        <v>0</v>
      </c>
      <c r="AB11" s="13">
        <v>4</v>
      </c>
      <c r="AC11" s="13">
        <v>2307</v>
      </c>
      <c r="AD11" s="13">
        <v>902</v>
      </c>
    </row>
    <row r="12" spans="1:30" x14ac:dyDescent="0.3">
      <c r="A12" s="58" t="s">
        <v>4</v>
      </c>
      <c r="B12" s="13">
        <v>24745</v>
      </c>
      <c r="C12" s="17">
        <v>7.1307745730036287E-2</v>
      </c>
      <c r="E12" s="10" t="s">
        <v>98</v>
      </c>
      <c r="F12" s="14">
        <v>8823</v>
      </c>
      <c r="G12" s="15">
        <v>1.9252212051452697E-2</v>
      </c>
      <c r="I12" s="10" t="s">
        <v>54</v>
      </c>
      <c r="J12" s="50">
        <v>8823</v>
      </c>
      <c r="K12" s="51">
        <v>1.9801113602240669E-2</v>
      </c>
      <c r="M12" s="58" t="s">
        <v>30</v>
      </c>
      <c r="N12" s="13">
        <v>5</v>
      </c>
      <c r="O12" s="13">
        <v>0</v>
      </c>
      <c r="P12" s="13">
        <v>40</v>
      </c>
      <c r="Q12" s="13">
        <v>1</v>
      </c>
      <c r="R12" s="13">
        <v>5</v>
      </c>
      <c r="S12" s="13">
        <v>76</v>
      </c>
      <c r="T12" s="13">
        <v>4</v>
      </c>
      <c r="U12" s="13">
        <v>0</v>
      </c>
      <c r="V12" s="13">
        <v>2</v>
      </c>
      <c r="W12" s="13">
        <v>0</v>
      </c>
      <c r="X12" s="13">
        <v>0</v>
      </c>
      <c r="Y12" s="13">
        <v>5</v>
      </c>
      <c r="Z12" s="13">
        <v>134</v>
      </c>
      <c r="AA12" s="13">
        <v>0</v>
      </c>
      <c r="AB12" s="13">
        <v>0</v>
      </c>
      <c r="AC12" s="13">
        <v>0</v>
      </c>
      <c r="AD12" s="13">
        <v>102</v>
      </c>
    </row>
    <row r="13" spans="1:30" x14ac:dyDescent="0.3">
      <c r="A13" s="58" t="s">
        <v>24</v>
      </c>
      <c r="B13" s="13">
        <v>23794</v>
      </c>
      <c r="C13" s="17">
        <v>6.8567245985067013E-2</v>
      </c>
      <c r="E13" s="10" t="s">
        <v>93</v>
      </c>
      <c r="F13" s="14">
        <v>6156</v>
      </c>
      <c r="G13" s="15">
        <v>1.3432689265413444E-2</v>
      </c>
      <c r="I13" s="10" t="s">
        <v>82</v>
      </c>
      <c r="J13" s="50">
        <v>8214</v>
      </c>
      <c r="K13" s="51">
        <v>1.8434358736122054E-2</v>
      </c>
      <c r="M13" s="58" t="s">
        <v>5</v>
      </c>
      <c r="N13" s="13">
        <v>122</v>
      </c>
      <c r="O13" s="13">
        <v>1</v>
      </c>
      <c r="P13" s="13">
        <v>1034</v>
      </c>
      <c r="Q13" s="13">
        <v>5</v>
      </c>
      <c r="R13" s="13">
        <v>198</v>
      </c>
      <c r="S13" s="13">
        <v>755</v>
      </c>
      <c r="T13" s="13">
        <v>46</v>
      </c>
      <c r="U13" s="13">
        <v>8</v>
      </c>
      <c r="V13" s="13">
        <v>14</v>
      </c>
      <c r="W13" s="13">
        <v>12</v>
      </c>
      <c r="X13" s="13">
        <v>0</v>
      </c>
      <c r="Y13" s="13">
        <v>241</v>
      </c>
      <c r="Z13" s="13">
        <v>2458</v>
      </c>
      <c r="AA13" s="13">
        <v>5</v>
      </c>
      <c r="AB13" s="13">
        <v>5</v>
      </c>
      <c r="AC13" s="13">
        <v>1978</v>
      </c>
      <c r="AD13" s="13">
        <v>1171</v>
      </c>
    </row>
    <row r="14" spans="1:30" x14ac:dyDescent="0.3">
      <c r="A14" s="58" t="s">
        <v>1</v>
      </c>
      <c r="B14" s="13">
        <v>22470</v>
      </c>
      <c r="C14" s="17">
        <v>6.4751870945803813E-2</v>
      </c>
      <c r="E14" s="10" t="s">
        <v>94</v>
      </c>
      <c r="F14" s="14">
        <v>4825</v>
      </c>
      <c r="G14" s="15">
        <v>1.0528382993115638E-2</v>
      </c>
      <c r="I14" s="10" t="s">
        <v>38</v>
      </c>
      <c r="J14" s="50">
        <v>6156</v>
      </c>
      <c r="K14" s="51">
        <v>1.3815669878203964E-2</v>
      </c>
      <c r="M14" s="58" t="s">
        <v>31</v>
      </c>
      <c r="N14" s="13">
        <v>1</v>
      </c>
      <c r="O14" s="13">
        <v>0</v>
      </c>
      <c r="P14" s="13">
        <v>12</v>
      </c>
      <c r="Q14" s="13">
        <v>1</v>
      </c>
      <c r="R14" s="13">
        <v>3</v>
      </c>
      <c r="S14" s="13">
        <v>2</v>
      </c>
      <c r="T14" s="13">
        <v>0</v>
      </c>
      <c r="U14" s="13">
        <v>0</v>
      </c>
      <c r="V14" s="13">
        <v>0</v>
      </c>
      <c r="W14" s="13">
        <v>8</v>
      </c>
      <c r="X14" s="13">
        <v>0</v>
      </c>
      <c r="Y14" s="13">
        <v>3</v>
      </c>
      <c r="Z14" s="13">
        <v>36</v>
      </c>
      <c r="AA14" s="13">
        <v>0</v>
      </c>
      <c r="AB14" s="13">
        <v>0</v>
      </c>
      <c r="AC14" s="13">
        <v>53</v>
      </c>
      <c r="AD14" s="13">
        <v>6</v>
      </c>
    </row>
    <row r="15" spans="1:30" x14ac:dyDescent="0.3">
      <c r="A15" s="58" t="s">
        <v>11</v>
      </c>
      <c r="B15" s="13">
        <v>20359</v>
      </c>
      <c r="C15" s="17">
        <v>5.8668595486676446E-2</v>
      </c>
      <c r="E15" s="10" t="s">
        <v>101</v>
      </c>
      <c r="F15" s="14">
        <v>3678</v>
      </c>
      <c r="G15" s="15">
        <v>8.0255736059439003E-3</v>
      </c>
      <c r="I15" s="10" t="s">
        <v>87</v>
      </c>
      <c r="J15" s="50">
        <v>4825</v>
      </c>
      <c r="K15" s="51">
        <v>1.0828558668345374E-2</v>
      </c>
      <c r="M15" s="58" t="s">
        <v>32</v>
      </c>
      <c r="N15" s="13">
        <v>42</v>
      </c>
      <c r="O15" s="13">
        <v>8</v>
      </c>
      <c r="P15" s="13">
        <v>1814</v>
      </c>
      <c r="Q15" s="13">
        <v>0</v>
      </c>
      <c r="R15" s="13">
        <v>36</v>
      </c>
      <c r="S15" s="13">
        <v>4240</v>
      </c>
      <c r="T15" s="13">
        <v>115</v>
      </c>
      <c r="U15" s="13">
        <v>16</v>
      </c>
      <c r="V15" s="13">
        <v>44</v>
      </c>
      <c r="W15" s="13">
        <v>59</v>
      </c>
      <c r="X15" s="13">
        <v>0</v>
      </c>
      <c r="Y15" s="13">
        <v>352</v>
      </c>
      <c r="Z15" s="13">
        <v>4099</v>
      </c>
      <c r="AA15" s="13">
        <v>10</v>
      </c>
      <c r="AB15" s="13">
        <v>3</v>
      </c>
      <c r="AC15" s="13">
        <v>1636</v>
      </c>
      <c r="AD15" s="13">
        <v>1094</v>
      </c>
    </row>
    <row r="16" spans="1:30" x14ac:dyDescent="0.3">
      <c r="A16"/>
      <c r="B16"/>
      <c r="C16"/>
      <c r="E16" s="10" t="s">
        <v>97</v>
      </c>
      <c r="F16" s="14">
        <v>2796</v>
      </c>
      <c r="G16" s="15">
        <v>6.1010070152852482E-3</v>
      </c>
      <c r="I16"/>
      <c r="J16"/>
      <c r="K16"/>
      <c r="M16" s="58" t="s">
        <v>6</v>
      </c>
      <c r="N16" s="13">
        <v>3</v>
      </c>
      <c r="O16" s="13">
        <v>0</v>
      </c>
      <c r="P16" s="13">
        <v>96</v>
      </c>
      <c r="Q16" s="13">
        <v>0</v>
      </c>
      <c r="R16" s="13">
        <v>9</v>
      </c>
      <c r="S16" s="13">
        <v>0</v>
      </c>
      <c r="T16" s="13">
        <v>1</v>
      </c>
      <c r="U16" s="13">
        <v>0</v>
      </c>
      <c r="V16" s="13">
        <v>8</v>
      </c>
      <c r="W16" s="13">
        <v>0</v>
      </c>
      <c r="X16" s="13">
        <v>0</v>
      </c>
      <c r="Y16" s="13">
        <v>21</v>
      </c>
      <c r="Z16" s="13">
        <v>61</v>
      </c>
      <c r="AA16" s="13">
        <v>0</v>
      </c>
      <c r="AB16" s="13">
        <v>0</v>
      </c>
      <c r="AC16" s="13">
        <v>0</v>
      </c>
      <c r="AD16" s="13">
        <v>97</v>
      </c>
    </row>
    <row r="17" spans="1:30" x14ac:dyDescent="0.3">
      <c r="A17"/>
      <c r="B17"/>
      <c r="C17"/>
      <c r="E17" s="10" t="s">
        <v>100</v>
      </c>
      <c r="F17" s="14">
        <v>1788</v>
      </c>
      <c r="G17" s="15">
        <v>3.9015023402467898E-3</v>
      </c>
      <c r="I17"/>
      <c r="J17"/>
      <c r="K17"/>
      <c r="M17" s="58" t="s">
        <v>7</v>
      </c>
      <c r="N17" s="13">
        <v>318</v>
      </c>
      <c r="O17" s="13">
        <v>3</v>
      </c>
      <c r="P17" s="13">
        <v>688</v>
      </c>
      <c r="Q17" s="13">
        <v>0</v>
      </c>
      <c r="R17" s="13">
        <v>54</v>
      </c>
      <c r="S17" s="13">
        <v>2178</v>
      </c>
      <c r="T17" s="13">
        <v>12</v>
      </c>
      <c r="U17" s="13">
        <v>3</v>
      </c>
      <c r="V17" s="13">
        <v>3</v>
      </c>
      <c r="W17" s="13">
        <v>80</v>
      </c>
      <c r="X17" s="13">
        <v>0</v>
      </c>
      <c r="Y17" s="13">
        <v>15</v>
      </c>
      <c r="Z17" s="13">
        <v>1300</v>
      </c>
      <c r="AA17" s="13">
        <v>5</v>
      </c>
      <c r="AB17" s="13">
        <v>7</v>
      </c>
      <c r="AC17" s="13">
        <v>2548</v>
      </c>
      <c r="AD17" s="13">
        <v>634</v>
      </c>
    </row>
    <row r="18" spans="1:30" x14ac:dyDescent="0.3">
      <c r="A18"/>
      <c r="B18"/>
      <c r="C18"/>
      <c r="E18" s="10" t="s">
        <v>81</v>
      </c>
      <c r="F18" s="14">
        <v>1226</v>
      </c>
      <c r="G18" s="15">
        <v>2.6751912019812997E-3</v>
      </c>
      <c r="I18"/>
      <c r="J18"/>
      <c r="K18"/>
      <c r="M18" s="58" t="s">
        <v>8</v>
      </c>
      <c r="N18" s="13">
        <v>178</v>
      </c>
      <c r="O18" s="13">
        <v>4</v>
      </c>
      <c r="P18" s="13">
        <v>2265</v>
      </c>
      <c r="Q18" s="13">
        <v>199</v>
      </c>
      <c r="R18" s="13">
        <v>103</v>
      </c>
      <c r="S18" s="13">
        <v>5196</v>
      </c>
      <c r="T18" s="13">
        <v>207</v>
      </c>
      <c r="U18" s="13">
        <v>14</v>
      </c>
      <c r="V18" s="13">
        <v>32</v>
      </c>
      <c r="W18" s="13">
        <v>38</v>
      </c>
      <c r="X18" s="13">
        <v>0</v>
      </c>
      <c r="Y18" s="13">
        <v>443</v>
      </c>
      <c r="Z18" s="13">
        <v>5071</v>
      </c>
      <c r="AA18" s="13">
        <v>50</v>
      </c>
      <c r="AB18" s="13">
        <v>9</v>
      </c>
      <c r="AC18" s="13">
        <v>2044</v>
      </c>
      <c r="AD18" s="13">
        <v>1772</v>
      </c>
    </row>
    <row r="19" spans="1:30" x14ac:dyDescent="0.3">
      <c r="A19"/>
      <c r="B19"/>
      <c r="C19"/>
      <c r="E19" s="10" t="s">
        <v>86</v>
      </c>
      <c r="F19" s="14">
        <v>309</v>
      </c>
      <c r="G19" s="15">
        <v>6.7425292121714659E-4</v>
      </c>
      <c r="I19"/>
      <c r="J19"/>
      <c r="K19"/>
      <c r="M19" s="58" t="s">
        <v>9</v>
      </c>
      <c r="N19" s="13">
        <v>39</v>
      </c>
      <c r="O19" s="13">
        <v>0</v>
      </c>
      <c r="P19" s="13">
        <v>504</v>
      </c>
      <c r="Q19" s="13">
        <v>3</v>
      </c>
      <c r="R19" s="13">
        <v>21</v>
      </c>
      <c r="S19" s="13">
        <v>219</v>
      </c>
      <c r="T19" s="13">
        <v>0</v>
      </c>
      <c r="U19" s="13">
        <v>2</v>
      </c>
      <c r="V19" s="13">
        <v>5</v>
      </c>
      <c r="W19" s="13">
        <v>10</v>
      </c>
      <c r="X19" s="13">
        <v>0</v>
      </c>
      <c r="Y19" s="13">
        <v>97</v>
      </c>
      <c r="Z19" s="13">
        <v>358</v>
      </c>
      <c r="AA19" s="13">
        <v>0</v>
      </c>
      <c r="AB19" s="13">
        <v>6</v>
      </c>
      <c r="AC19" s="13">
        <v>3</v>
      </c>
      <c r="AD19" s="13">
        <v>344</v>
      </c>
    </row>
    <row r="20" spans="1:30" x14ac:dyDescent="0.3">
      <c r="A20"/>
      <c r="B20"/>
      <c r="C20"/>
      <c r="E20" s="10" t="s">
        <v>92</v>
      </c>
      <c r="F20" s="14">
        <v>230</v>
      </c>
      <c r="G20" s="15">
        <v>5.0187110640758476E-4</v>
      </c>
      <c r="I20"/>
      <c r="J20"/>
      <c r="K20"/>
      <c r="M20" s="58" t="s">
        <v>33</v>
      </c>
      <c r="N20" s="13">
        <v>31</v>
      </c>
      <c r="O20" s="13">
        <v>0</v>
      </c>
      <c r="P20" s="13">
        <v>1542</v>
      </c>
      <c r="Q20" s="13">
        <v>2</v>
      </c>
      <c r="R20" s="13">
        <v>43</v>
      </c>
      <c r="S20" s="13">
        <v>524</v>
      </c>
      <c r="T20" s="13">
        <v>9</v>
      </c>
      <c r="U20" s="13">
        <v>15</v>
      </c>
      <c r="V20" s="13">
        <v>7</v>
      </c>
      <c r="W20" s="13">
        <v>8</v>
      </c>
      <c r="X20" s="13">
        <v>0</v>
      </c>
      <c r="Y20" s="13">
        <v>21</v>
      </c>
      <c r="Z20" s="13">
        <v>1011</v>
      </c>
      <c r="AA20" s="13">
        <v>4</v>
      </c>
      <c r="AB20" s="13">
        <v>1</v>
      </c>
      <c r="AC20" s="13">
        <v>320</v>
      </c>
      <c r="AD20" s="13">
        <v>231</v>
      </c>
    </row>
    <row r="21" spans="1:30" x14ac:dyDescent="0.3">
      <c r="A21"/>
      <c r="B21"/>
      <c r="C21"/>
      <c r="E21" s="10" t="s">
        <v>85</v>
      </c>
      <c r="F21" s="14">
        <v>154</v>
      </c>
      <c r="G21" s="15">
        <v>3.3603543646420895E-4</v>
      </c>
      <c r="I21"/>
      <c r="J21"/>
      <c r="K21"/>
      <c r="M21" s="58" t="s">
        <v>10</v>
      </c>
      <c r="N21" s="13">
        <v>45</v>
      </c>
      <c r="O21" s="13">
        <v>1</v>
      </c>
      <c r="P21" s="13">
        <v>944</v>
      </c>
      <c r="Q21" s="13">
        <v>66</v>
      </c>
      <c r="R21" s="13">
        <v>12</v>
      </c>
      <c r="S21" s="13">
        <v>866</v>
      </c>
      <c r="T21" s="13">
        <v>218</v>
      </c>
      <c r="U21" s="13">
        <v>1487</v>
      </c>
      <c r="V21" s="13">
        <v>37</v>
      </c>
      <c r="W21" s="13">
        <v>2</v>
      </c>
      <c r="X21" s="13">
        <v>0</v>
      </c>
      <c r="Y21" s="13">
        <v>4</v>
      </c>
      <c r="Z21" s="13">
        <v>1629</v>
      </c>
      <c r="AA21" s="13">
        <v>3</v>
      </c>
      <c r="AB21" s="13">
        <v>3</v>
      </c>
      <c r="AC21" s="13">
        <v>827</v>
      </c>
      <c r="AD21" s="13">
        <v>1221</v>
      </c>
    </row>
    <row r="22" spans="1:30" x14ac:dyDescent="0.3">
      <c r="A22"/>
      <c r="B22"/>
      <c r="C22"/>
      <c r="E22" s="10" t="s">
        <v>103</v>
      </c>
      <c r="F22" s="14">
        <v>31</v>
      </c>
      <c r="G22" s="15">
        <v>6.7643496950587522E-5</v>
      </c>
      <c r="I22"/>
      <c r="J22"/>
      <c r="K22"/>
      <c r="M22" s="58" t="s">
        <v>11</v>
      </c>
      <c r="N22" s="13">
        <v>274</v>
      </c>
      <c r="O22" s="13">
        <v>4</v>
      </c>
      <c r="P22" s="13">
        <v>6790</v>
      </c>
      <c r="Q22" s="13">
        <v>10</v>
      </c>
      <c r="R22" s="13">
        <v>458</v>
      </c>
      <c r="S22" s="13">
        <v>3000</v>
      </c>
      <c r="T22" s="13">
        <v>156</v>
      </c>
      <c r="U22" s="13">
        <v>2322</v>
      </c>
      <c r="V22" s="13">
        <v>11</v>
      </c>
      <c r="W22" s="13">
        <v>308</v>
      </c>
      <c r="X22" s="13">
        <v>1</v>
      </c>
      <c r="Y22" s="13">
        <v>148</v>
      </c>
      <c r="Z22" s="13">
        <v>2350</v>
      </c>
      <c r="AA22" s="13">
        <v>11</v>
      </c>
      <c r="AB22" s="13">
        <v>6</v>
      </c>
      <c r="AC22" s="13">
        <v>3854</v>
      </c>
      <c r="AD22" s="13">
        <v>656</v>
      </c>
    </row>
    <row r="23" spans="1:30" x14ac:dyDescent="0.3">
      <c r="A23"/>
      <c r="B23"/>
      <c r="C23"/>
      <c r="I23"/>
      <c r="J23"/>
      <c r="K23"/>
      <c r="M23" s="58" t="s">
        <v>12</v>
      </c>
      <c r="N23" s="13">
        <v>47</v>
      </c>
      <c r="O23" s="13">
        <v>9</v>
      </c>
      <c r="P23" s="13">
        <v>4816</v>
      </c>
      <c r="Q23" s="13">
        <v>54</v>
      </c>
      <c r="R23" s="13">
        <v>369</v>
      </c>
      <c r="S23" s="13">
        <v>5190</v>
      </c>
      <c r="T23" s="13">
        <v>8</v>
      </c>
      <c r="U23" s="13">
        <v>21</v>
      </c>
      <c r="V23" s="13">
        <v>15</v>
      </c>
      <c r="W23" s="13">
        <v>13</v>
      </c>
      <c r="X23" s="13">
        <v>0</v>
      </c>
      <c r="Y23" s="13">
        <v>679</v>
      </c>
      <c r="Z23" s="13">
        <v>238</v>
      </c>
      <c r="AA23" s="13">
        <v>1</v>
      </c>
      <c r="AB23" s="13">
        <v>4</v>
      </c>
      <c r="AC23" s="13">
        <v>3765</v>
      </c>
      <c r="AD23" s="13">
        <v>843</v>
      </c>
    </row>
    <row r="24" spans="1:30" x14ac:dyDescent="0.3">
      <c r="A24"/>
      <c r="B24"/>
      <c r="C24"/>
      <c r="I24"/>
      <c r="J24"/>
      <c r="K24"/>
      <c r="M24" s="58" t="s">
        <v>34</v>
      </c>
      <c r="N24" s="13">
        <v>0</v>
      </c>
      <c r="O24" s="13">
        <v>0</v>
      </c>
      <c r="P24" s="13">
        <v>2</v>
      </c>
      <c r="Q24" s="13">
        <v>0</v>
      </c>
      <c r="R24" s="13">
        <v>0</v>
      </c>
      <c r="S24" s="13">
        <v>6</v>
      </c>
      <c r="T24" s="13">
        <v>0</v>
      </c>
      <c r="U24" s="13">
        <v>0</v>
      </c>
      <c r="V24" s="13">
        <v>0</v>
      </c>
      <c r="W24" s="13">
        <v>0</v>
      </c>
      <c r="X24" s="13">
        <v>0</v>
      </c>
      <c r="Y24" s="13">
        <v>4</v>
      </c>
      <c r="Z24" s="13">
        <v>3</v>
      </c>
      <c r="AA24" s="13">
        <v>0</v>
      </c>
      <c r="AB24" s="13">
        <v>0</v>
      </c>
      <c r="AC24" s="13">
        <v>3</v>
      </c>
      <c r="AD24" s="13">
        <v>2</v>
      </c>
    </row>
    <row r="25" spans="1:30" x14ac:dyDescent="0.3">
      <c r="A25"/>
      <c r="B25"/>
      <c r="C25"/>
      <c r="I25"/>
      <c r="J25"/>
      <c r="K25"/>
      <c r="M25" s="58" t="s">
        <v>35</v>
      </c>
      <c r="N25" s="13">
        <v>0</v>
      </c>
      <c r="O25" s="13">
        <v>0</v>
      </c>
      <c r="P25" s="13">
        <v>7</v>
      </c>
      <c r="Q25" s="13">
        <v>0</v>
      </c>
      <c r="R25" s="13">
        <v>1</v>
      </c>
      <c r="S25" s="13">
        <v>3</v>
      </c>
      <c r="T25" s="13">
        <v>0</v>
      </c>
      <c r="U25" s="13">
        <v>0</v>
      </c>
      <c r="V25" s="13">
        <v>0</v>
      </c>
      <c r="W25" s="13">
        <v>0</v>
      </c>
      <c r="X25" s="13">
        <v>1</v>
      </c>
      <c r="Y25" s="13">
        <v>1</v>
      </c>
      <c r="Z25" s="13">
        <v>0</v>
      </c>
      <c r="AA25" s="13">
        <v>0</v>
      </c>
      <c r="AB25" s="13">
        <v>0</v>
      </c>
      <c r="AC25" s="13">
        <v>9</v>
      </c>
      <c r="AD25" s="13">
        <v>1</v>
      </c>
    </row>
    <row r="26" spans="1:30" x14ac:dyDescent="0.3">
      <c r="A26"/>
      <c r="B26"/>
      <c r="C26"/>
      <c r="I26"/>
      <c r="J26"/>
      <c r="K26"/>
      <c r="M26" s="58" t="s">
        <v>13</v>
      </c>
      <c r="N26" s="13">
        <v>716</v>
      </c>
      <c r="O26" s="13">
        <v>5</v>
      </c>
      <c r="P26" s="13">
        <v>5078</v>
      </c>
      <c r="Q26" s="13">
        <v>38</v>
      </c>
      <c r="R26" s="13">
        <v>52</v>
      </c>
      <c r="S26" s="13">
        <v>7597</v>
      </c>
      <c r="T26" s="13">
        <v>468</v>
      </c>
      <c r="U26" s="13">
        <v>65</v>
      </c>
      <c r="V26" s="13">
        <v>37</v>
      </c>
      <c r="W26" s="13">
        <v>21</v>
      </c>
      <c r="X26" s="13">
        <v>4</v>
      </c>
      <c r="Y26" s="13">
        <v>243</v>
      </c>
      <c r="Z26" s="13">
        <v>8604</v>
      </c>
      <c r="AA26" s="13">
        <v>24</v>
      </c>
      <c r="AB26" s="13">
        <v>29</v>
      </c>
      <c r="AC26" s="13">
        <v>6429</v>
      </c>
      <c r="AD26" s="13">
        <v>2979</v>
      </c>
    </row>
    <row r="27" spans="1:30" x14ac:dyDescent="0.3">
      <c r="A27"/>
      <c r="B27"/>
      <c r="C27"/>
      <c r="I27"/>
      <c r="J27"/>
      <c r="K27"/>
      <c r="M27" s="58" t="s">
        <v>14</v>
      </c>
      <c r="N27" s="13">
        <v>742</v>
      </c>
      <c r="O27" s="13">
        <v>8</v>
      </c>
      <c r="P27" s="13">
        <v>12133</v>
      </c>
      <c r="Q27" s="13">
        <v>0</v>
      </c>
      <c r="R27" s="13">
        <v>81</v>
      </c>
      <c r="S27" s="13">
        <v>11234</v>
      </c>
      <c r="T27" s="13">
        <v>170</v>
      </c>
      <c r="U27" s="13">
        <v>17</v>
      </c>
      <c r="V27" s="13">
        <v>315</v>
      </c>
      <c r="W27" s="13">
        <v>211</v>
      </c>
      <c r="X27" s="13">
        <v>0</v>
      </c>
      <c r="Y27" s="13">
        <v>1309</v>
      </c>
      <c r="Z27" s="13">
        <v>9427</v>
      </c>
      <c r="AA27" s="13">
        <v>42</v>
      </c>
      <c r="AB27" s="13">
        <v>29</v>
      </c>
      <c r="AC27" s="13">
        <v>8519</v>
      </c>
      <c r="AD27" s="13">
        <v>2930</v>
      </c>
    </row>
    <row r="28" spans="1:30" x14ac:dyDescent="0.3">
      <c r="A28"/>
      <c r="B28"/>
      <c r="C28"/>
      <c r="I28"/>
      <c r="J28"/>
      <c r="K28"/>
      <c r="M28" s="58" t="s">
        <v>15</v>
      </c>
      <c r="N28" s="13">
        <v>4</v>
      </c>
      <c r="O28" s="13">
        <v>0</v>
      </c>
      <c r="P28" s="13">
        <v>66</v>
      </c>
      <c r="Q28" s="13">
        <v>0</v>
      </c>
      <c r="R28" s="13">
        <v>0</v>
      </c>
      <c r="S28" s="13">
        <v>7</v>
      </c>
      <c r="T28" s="13">
        <v>1</v>
      </c>
      <c r="U28" s="13">
        <v>0</v>
      </c>
      <c r="V28" s="13">
        <v>0</v>
      </c>
      <c r="W28" s="13">
        <v>0</v>
      </c>
      <c r="X28" s="13">
        <v>0</v>
      </c>
      <c r="Y28" s="13">
        <v>8</v>
      </c>
      <c r="Z28" s="13">
        <v>49</v>
      </c>
      <c r="AA28" s="13">
        <v>0</v>
      </c>
      <c r="AB28" s="13">
        <v>1</v>
      </c>
      <c r="AC28" s="13">
        <v>55</v>
      </c>
      <c r="AD28" s="13">
        <v>27</v>
      </c>
    </row>
    <row r="29" spans="1:30" x14ac:dyDescent="0.3">
      <c r="A29"/>
      <c r="B29"/>
      <c r="C29"/>
      <c r="I29"/>
      <c r="J29"/>
      <c r="K29"/>
      <c r="M29" s="58" t="s">
        <v>16</v>
      </c>
      <c r="N29" s="13">
        <v>2</v>
      </c>
      <c r="O29" s="13">
        <v>1</v>
      </c>
      <c r="P29" s="13">
        <v>51</v>
      </c>
      <c r="Q29" s="13">
        <v>12</v>
      </c>
      <c r="R29" s="13">
        <v>10</v>
      </c>
      <c r="S29" s="13">
        <v>14</v>
      </c>
      <c r="T29" s="13">
        <v>0</v>
      </c>
      <c r="U29" s="13">
        <v>2</v>
      </c>
      <c r="V29" s="13">
        <v>0</v>
      </c>
      <c r="W29" s="13">
        <v>1</v>
      </c>
      <c r="X29" s="13">
        <v>0</v>
      </c>
      <c r="Y29" s="13">
        <v>17</v>
      </c>
      <c r="Z29" s="13">
        <v>61</v>
      </c>
      <c r="AA29" s="13">
        <v>1</v>
      </c>
      <c r="AB29" s="13">
        <v>0</v>
      </c>
      <c r="AC29" s="13">
        <v>397</v>
      </c>
      <c r="AD29" s="13">
        <v>66</v>
      </c>
    </row>
    <row r="30" spans="1:30" x14ac:dyDescent="0.3">
      <c r="A30"/>
      <c r="B30"/>
      <c r="C30"/>
      <c r="I30"/>
      <c r="J30"/>
      <c r="K30"/>
      <c r="M30" s="58" t="s">
        <v>17</v>
      </c>
      <c r="N30" s="13">
        <v>0</v>
      </c>
      <c r="O30" s="13">
        <v>0</v>
      </c>
      <c r="P30" s="13">
        <v>28</v>
      </c>
      <c r="Q30" s="13">
        <v>1</v>
      </c>
      <c r="R30" s="13">
        <v>0</v>
      </c>
      <c r="S30" s="13">
        <v>5</v>
      </c>
      <c r="T30" s="13">
        <v>0</v>
      </c>
      <c r="U30" s="13">
        <v>0</v>
      </c>
      <c r="V30" s="13">
        <v>0</v>
      </c>
      <c r="W30" s="13">
        <v>0</v>
      </c>
      <c r="X30" s="13">
        <v>0</v>
      </c>
      <c r="Y30" s="13">
        <v>0</v>
      </c>
      <c r="Z30" s="13">
        <v>1</v>
      </c>
      <c r="AA30" s="13">
        <v>0</v>
      </c>
      <c r="AB30" s="13">
        <v>0</v>
      </c>
      <c r="AC30" s="13">
        <v>113</v>
      </c>
      <c r="AD30" s="13">
        <v>36</v>
      </c>
    </row>
    <row r="31" spans="1:30" x14ac:dyDescent="0.3">
      <c r="A31"/>
      <c r="B31"/>
      <c r="C31"/>
      <c r="I31"/>
      <c r="J31"/>
      <c r="K31"/>
      <c r="M31" s="58" t="s">
        <v>18</v>
      </c>
      <c r="N31" s="13">
        <v>0</v>
      </c>
      <c r="O31" s="13">
        <v>0</v>
      </c>
      <c r="P31" s="13">
        <v>14</v>
      </c>
      <c r="Q31" s="13">
        <v>3</v>
      </c>
      <c r="R31" s="13">
        <v>1</v>
      </c>
      <c r="S31" s="13">
        <v>4</v>
      </c>
      <c r="T31" s="13">
        <v>0</v>
      </c>
      <c r="U31" s="13">
        <v>0</v>
      </c>
      <c r="V31" s="13">
        <v>0</v>
      </c>
      <c r="W31" s="13">
        <v>1</v>
      </c>
      <c r="X31" s="13">
        <v>0</v>
      </c>
      <c r="Y31" s="13">
        <v>1</v>
      </c>
      <c r="Z31" s="13">
        <v>9</v>
      </c>
      <c r="AA31" s="13">
        <v>0</v>
      </c>
      <c r="AB31" s="13">
        <v>0</v>
      </c>
      <c r="AC31" s="13">
        <v>15</v>
      </c>
      <c r="AD31" s="13">
        <v>10</v>
      </c>
    </row>
    <row r="32" spans="1:30" x14ac:dyDescent="0.3">
      <c r="A32"/>
      <c r="B32"/>
      <c r="C32"/>
      <c r="I32"/>
      <c r="J32"/>
      <c r="K32"/>
      <c r="M32" s="58" t="s">
        <v>19</v>
      </c>
      <c r="N32" s="13">
        <v>0</v>
      </c>
      <c r="O32" s="13">
        <v>7</v>
      </c>
      <c r="P32" s="13">
        <v>9367</v>
      </c>
      <c r="Q32" s="13">
        <v>123</v>
      </c>
      <c r="R32" s="13">
        <v>761</v>
      </c>
      <c r="S32" s="13">
        <v>5534</v>
      </c>
      <c r="T32" s="13">
        <v>231</v>
      </c>
      <c r="U32" s="13">
        <v>5</v>
      </c>
      <c r="V32" s="13">
        <v>105</v>
      </c>
      <c r="W32" s="13">
        <v>15</v>
      </c>
      <c r="X32" s="13">
        <v>8</v>
      </c>
      <c r="Y32" s="13">
        <v>569</v>
      </c>
      <c r="Z32" s="13">
        <v>5749</v>
      </c>
      <c r="AA32" s="13">
        <v>0</v>
      </c>
      <c r="AB32" s="13">
        <v>15</v>
      </c>
      <c r="AC32" s="13">
        <v>2368</v>
      </c>
      <c r="AD32" s="13">
        <v>1195</v>
      </c>
    </row>
    <row r="33" spans="1:30" x14ac:dyDescent="0.3">
      <c r="A33"/>
      <c r="B33"/>
      <c r="C33"/>
      <c r="I33"/>
      <c r="J33"/>
      <c r="K33"/>
      <c r="M33" s="58" t="s">
        <v>36</v>
      </c>
      <c r="N33" s="13">
        <v>4</v>
      </c>
      <c r="O33" s="13">
        <v>0</v>
      </c>
      <c r="P33" s="13">
        <v>30</v>
      </c>
      <c r="Q33" s="13">
        <v>1</v>
      </c>
      <c r="R33" s="13">
        <v>10</v>
      </c>
      <c r="S33" s="13">
        <v>9</v>
      </c>
      <c r="T33" s="13">
        <v>1</v>
      </c>
      <c r="U33" s="13">
        <v>14</v>
      </c>
      <c r="V33" s="13">
        <v>15</v>
      </c>
      <c r="W33" s="13">
        <v>3</v>
      </c>
      <c r="X33" s="13">
        <v>0</v>
      </c>
      <c r="Y33" s="13">
        <v>9</v>
      </c>
      <c r="Z33" s="13">
        <v>17</v>
      </c>
      <c r="AA33" s="13">
        <v>0</v>
      </c>
      <c r="AB33" s="13">
        <v>0</v>
      </c>
      <c r="AC33" s="13">
        <v>91</v>
      </c>
      <c r="AD33" s="13">
        <v>9</v>
      </c>
    </row>
    <row r="34" spans="1:30" x14ac:dyDescent="0.3">
      <c r="A34"/>
      <c r="B34"/>
      <c r="C34"/>
      <c r="I34"/>
      <c r="J34"/>
      <c r="K34"/>
      <c r="M34" s="58" t="s">
        <v>20</v>
      </c>
      <c r="N34" s="13">
        <v>198</v>
      </c>
      <c r="O34" s="13">
        <v>3</v>
      </c>
      <c r="P34" s="13">
        <v>656</v>
      </c>
      <c r="Q34" s="13">
        <v>23</v>
      </c>
      <c r="R34" s="13">
        <v>37</v>
      </c>
      <c r="S34" s="13">
        <v>1532</v>
      </c>
      <c r="T34" s="13">
        <v>44</v>
      </c>
      <c r="U34" s="13">
        <v>4</v>
      </c>
      <c r="V34" s="13">
        <v>20</v>
      </c>
      <c r="W34" s="13">
        <v>39</v>
      </c>
      <c r="X34" s="13">
        <v>0</v>
      </c>
      <c r="Y34" s="13">
        <v>20</v>
      </c>
      <c r="Z34" s="13">
        <v>1464</v>
      </c>
      <c r="AA34" s="13">
        <v>7</v>
      </c>
      <c r="AB34" s="13">
        <v>6</v>
      </c>
      <c r="AC34" s="13">
        <v>782</v>
      </c>
      <c r="AD34" s="13">
        <v>457</v>
      </c>
    </row>
    <row r="35" spans="1:30" x14ac:dyDescent="0.3">
      <c r="A35"/>
      <c r="B35"/>
      <c r="C35"/>
      <c r="I35"/>
      <c r="J35"/>
      <c r="K35"/>
      <c r="M35" s="58" t="s">
        <v>21</v>
      </c>
      <c r="N35" s="13">
        <v>165</v>
      </c>
      <c r="O35" s="13">
        <v>5</v>
      </c>
      <c r="P35" s="13">
        <v>9456</v>
      </c>
      <c r="Q35" s="13">
        <v>845</v>
      </c>
      <c r="R35" s="13">
        <v>225</v>
      </c>
      <c r="S35" s="13">
        <v>18034</v>
      </c>
      <c r="T35" s="13">
        <v>428</v>
      </c>
      <c r="U35" s="13">
        <v>1</v>
      </c>
      <c r="V35" s="13">
        <v>8</v>
      </c>
      <c r="W35" s="13">
        <v>16</v>
      </c>
      <c r="X35" s="13">
        <v>6</v>
      </c>
      <c r="Y35" s="13">
        <v>81</v>
      </c>
      <c r="Z35" s="13">
        <v>8959</v>
      </c>
      <c r="AA35" s="13">
        <v>4</v>
      </c>
      <c r="AB35" s="13">
        <v>20</v>
      </c>
      <c r="AC35" s="13">
        <v>3556</v>
      </c>
      <c r="AD35" s="13">
        <v>5078</v>
      </c>
    </row>
    <row r="36" spans="1:30" x14ac:dyDescent="0.3">
      <c r="A36"/>
      <c r="B36"/>
      <c r="C36"/>
      <c r="I36"/>
      <c r="J36"/>
      <c r="K36"/>
      <c r="M36" s="58" t="s">
        <v>22</v>
      </c>
      <c r="N36" s="13">
        <v>2</v>
      </c>
      <c r="O36" s="13">
        <v>0</v>
      </c>
      <c r="P36" s="13">
        <v>16</v>
      </c>
      <c r="Q36" s="13">
        <v>0</v>
      </c>
      <c r="R36" s="13">
        <v>4</v>
      </c>
      <c r="S36" s="13">
        <v>1</v>
      </c>
      <c r="T36" s="13">
        <v>0</v>
      </c>
      <c r="U36" s="13">
        <v>0</v>
      </c>
      <c r="V36" s="13">
        <v>0</v>
      </c>
      <c r="W36" s="13">
        <v>0</v>
      </c>
      <c r="X36" s="13">
        <v>0</v>
      </c>
      <c r="Y36" s="13">
        <v>0</v>
      </c>
      <c r="Z36" s="13">
        <v>15</v>
      </c>
      <c r="AA36" s="13">
        <v>0</v>
      </c>
      <c r="AB36" s="13">
        <v>1</v>
      </c>
      <c r="AC36" s="13">
        <v>86</v>
      </c>
      <c r="AD36" s="13">
        <v>9</v>
      </c>
    </row>
    <row r="37" spans="1:30" x14ac:dyDescent="0.3">
      <c r="A37"/>
      <c r="B37"/>
      <c r="C37"/>
      <c r="I37"/>
      <c r="J37"/>
      <c r="K37"/>
      <c r="M37" s="58" t="s">
        <v>23</v>
      </c>
      <c r="N37" s="13">
        <v>143</v>
      </c>
      <c r="O37" s="13">
        <v>3</v>
      </c>
      <c r="P37" s="13">
        <v>1650</v>
      </c>
      <c r="Q37" s="13">
        <v>41</v>
      </c>
      <c r="R37" s="13">
        <v>91</v>
      </c>
      <c r="S37" s="13">
        <v>1021</v>
      </c>
      <c r="T37" s="13">
        <v>11</v>
      </c>
      <c r="U37" s="13">
        <v>144</v>
      </c>
      <c r="V37" s="13">
        <v>2</v>
      </c>
      <c r="W37" s="13">
        <v>619</v>
      </c>
      <c r="X37" s="13">
        <v>1</v>
      </c>
      <c r="Y37" s="13">
        <v>46</v>
      </c>
      <c r="Z37" s="13">
        <v>325</v>
      </c>
      <c r="AA37" s="13">
        <v>2</v>
      </c>
      <c r="AB37" s="13">
        <v>9</v>
      </c>
      <c r="AC37" s="13">
        <v>4505</v>
      </c>
      <c r="AD37" s="13">
        <v>365</v>
      </c>
    </row>
    <row r="38" spans="1:30" x14ac:dyDescent="0.3">
      <c r="A38"/>
      <c r="B38"/>
      <c r="C38"/>
      <c r="I38"/>
      <c r="J38"/>
      <c r="K38"/>
      <c r="M38" s="58" t="s">
        <v>24</v>
      </c>
      <c r="N38" s="13">
        <v>401</v>
      </c>
      <c r="O38" s="13">
        <v>2</v>
      </c>
      <c r="P38" s="13">
        <v>5024</v>
      </c>
      <c r="Q38" s="13">
        <v>41</v>
      </c>
      <c r="R38" s="13">
        <v>120</v>
      </c>
      <c r="S38" s="13">
        <v>10518</v>
      </c>
      <c r="T38" s="13">
        <v>145</v>
      </c>
      <c r="U38" s="13">
        <v>4</v>
      </c>
      <c r="V38" s="13">
        <v>298</v>
      </c>
      <c r="W38" s="13">
        <v>57</v>
      </c>
      <c r="X38" s="13">
        <v>0</v>
      </c>
      <c r="Y38" s="13">
        <v>957</v>
      </c>
      <c r="Z38" s="13">
        <v>2268</v>
      </c>
      <c r="AA38" s="13">
        <v>0</v>
      </c>
      <c r="AB38" s="13">
        <v>14</v>
      </c>
      <c r="AC38" s="13">
        <v>3128</v>
      </c>
      <c r="AD38" s="13">
        <v>817</v>
      </c>
    </row>
    <row r="39" spans="1:30" x14ac:dyDescent="0.3">
      <c r="A39"/>
      <c r="B39"/>
      <c r="C39"/>
      <c r="I39"/>
      <c r="J39"/>
      <c r="K39"/>
      <c r="M39" s="58" t="s">
        <v>25</v>
      </c>
      <c r="N39" s="13">
        <v>14</v>
      </c>
      <c r="O39" s="13">
        <v>0</v>
      </c>
      <c r="P39" s="13">
        <v>110</v>
      </c>
      <c r="Q39" s="13">
        <v>5</v>
      </c>
      <c r="R39" s="13">
        <v>13</v>
      </c>
      <c r="S39" s="13">
        <v>320</v>
      </c>
      <c r="T39" s="13">
        <v>21</v>
      </c>
      <c r="U39" s="13">
        <v>0</v>
      </c>
      <c r="V39" s="13">
        <v>5</v>
      </c>
      <c r="W39" s="13">
        <v>0</v>
      </c>
      <c r="X39" s="13">
        <v>0</v>
      </c>
      <c r="Y39" s="13">
        <v>3</v>
      </c>
      <c r="Z39" s="13">
        <v>156</v>
      </c>
      <c r="AA39" s="13">
        <v>0</v>
      </c>
      <c r="AB39" s="13">
        <v>0</v>
      </c>
      <c r="AC39" s="13">
        <v>132</v>
      </c>
      <c r="AD39" s="13">
        <v>57</v>
      </c>
    </row>
    <row r="40" spans="1:30" x14ac:dyDescent="0.3">
      <c r="A40"/>
      <c r="B40"/>
      <c r="C40"/>
      <c r="I40"/>
      <c r="J40"/>
      <c r="K40"/>
      <c r="M40" s="58" t="s">
        <v>26</v>
      </c>
      <c r="N40" s="13">
        <v>395</v>
      </c>
      <c r="O40" s="13">
        <v>32</v>
      </c>
      <c r="P40" s="13">
        <v>9453</v>
      </c>
      <c r="Q40" s="13">
        <v>140</v>
      </c>
      <c r="R40" s="13">
        <v>485</v>
      </c>
      <c r="S40" s="13">
        <v>19892</v>
      </c>
      <c r="T40" s="13">
        <v>2122</v>
      </c>
      <c r="U40" s="13">
        <v>7151</v>
      </c>
      <c r="V40" s="13">
        <v>8</v>
      </c>
      <c r="W40" s="13">
        <v>53</v>
      </c>
      <c r="X40" s="13">
        <v>4</v>
      </c>
      <c r="Y40" s="13">
        <v>145</v>
      </c>
      <c r="Z40" s="13">
        <v>14283</v>
      </c>
      <c r="AA40" s="13">
        <v>106</v>
      </c>
      <c r="AB40" s="13">
        <v>33</v>
      </c>
      <c r="AC40" s="13">
        <v>8574</v>
      </c>
      <c r="AD40" s="13">
        <v>3516</v>
      </c>
    </row>
    <row r="41" spans="1:30" x14ac:dyDescent="0.3">
      <c r="A41"/>
      <c r="B41"/>
      <c r="C41"/>
      <c r="I41"/>
      <c r="J41"/>
      <c r="K41"/>
      <c r="M41" s="58" t="s">
        <v>27</v>
      </c>
      <c r="N41" s="13">
        <v>19</v>
      </c>
      <c r="O41" s="13">
        <v>3</v>
      </c>
      <c r="P41" s="13">
        <v>624</v>
      </c>
      <c r="Q41" s="13">
        <v>20</v>
      </c>
      <c r="R41" s="13">
        <v>77</v>
      </c>
      <c r="S41" s="13">
        <v>1016</v>
      </c>
      <c r="T41" s="13">
        <v>48</v>
      </c>
      <c r="U41" s="13">
        <v>14</v>
      </c>
      <c r="V41" s="13">
        <v>4</v>
      </c>
      <c r="W41" s="13">
        <v>26</v>
      </c>
      <c r="X41" s="13">
        <v>0</v>
      </c>
      <c r="Y41" s="13">
        <v>26</v>
      </c>
      <c r="Z41" s="13">
        <v>1178</v>
      </c>
      <c r="AA41" s="13">
        <v>4</v>
      </c>
      <c r="AB41" s="13">
        <v>0</v>
      </c>
      <c r="AC41" s="13">
        <v>808</v>
      </c>
      <c r="AD41" s="13">
        <v>421</v>
      </c>
    </row>
    <row r="42" spans="1:30" x14ac:dyDescent="0.3">
      <c r="I42"/>
      <c r="J42"/>
      <c r="K42"/>
      <c r="M42" s="58" t="s">
        <v>28</v>
      </c>
      <c r="N42" s="13">
        <v>419</v>
      </c>
      <c r="O42" s="13">
        <v>37</v>
      </c>
      <c r="P42" s="13">
        <v>2479</v>
      </c>
      <c r="Q42" s="13">
        <v>825</v>
      </c>
      <c r="R42" s="13">
        <v>9</v>
      </c>
      <c r="S42" s="13">
        <v>19698</v>
      </c>
      <c r="T42" s="13">
        <v>350</v>
      </c>
      <c r="U42" s="13">
        <v>0</v>
      </c>
      <c r="V42" s="13">
        <v>31</v>
      </c>
      <c r="W42" s="13">
        <v>32</v>
      </c>
      <c r="X42" s="13">
        <v>1</v>
      </c>
      <c r="Y42" s="13">
        <v>412</v>
      </c>
      <c r="Z42" s="13">
        <v>8615</v>
      </c>
      <c r="AA42" s="13">
        <v>16</v>
      </c>
      <c r="AB42" s="13">
        <v>7</v>
      </c>
      <c r="AC42" s="13">
        <v>2721</v>
      </c>
      <c r="AD42" s="13">
        <v>1110</v>
      </c>
    </row>
    <row r="43" spans="1:30" x14ac:dyDescent="0.3">
      <c r="I43"/>
      <c r="J43"/>
      <c r="K43"/>
    </row>
    <row r="44" spans="1:30" x14ac:dyDescent="0.3">
      <c r="I44"/>
      <c r="J44"/>
      <c r="K44"/>
    </row>
    <row r="45" spans="1:30" ht="26.4" customHeight="1" x14ac:dyDescent="0.35">
      <c r="A45" s="59" t="s">
        <v>113</v>
      </c>
      <c r="B45" s="59"/>
      <c r="C45" s="59"/>
      <c r="D45" s="59"/>
      <c r="I45"/>
      <c r="J45"/>
      <c r="K45"/>
    </row>
    <row r="46" spans="1:30" x14ac:dyDescent="0.3">
      <c r="I46"/>
      <c r="J46"/>
      <c r="K46"/>
    </row>
    <row r="47" spans="1:30" x14ac:dyDescent="0.3">
      <c r="A47" s="10" t="s">
        <v>114</v>
      </c>
      <c r="B47" s="10" t="s">
        <v>115</v>
      </c>
      <c r="C47" s="10" t="s">
        <v>90</v>
      </c>
      <c r="I47"/>
      <c r="J47"/>
      <c r="K47"/>
    </row>
    <row r="48" spans="1:30" x14ac:dyDescent="0.3">
      <c r="A48" s="10" t="s">
        <v>116</v>
      </c>
      <c r="B48" s="10" t="s">
        <v>106</v>
      </c>
      <c r="C48" s="10" t="s">
        <v>176</v>
      </c>
      <c r="I48"/>
      <c r="J48"/>
      <c r="K48"/>
    </row>
    <row r="49" spans="1:11" x14ac:dyDescent="0.3">
      <c r="A49" t="s">
        <v>117</v>
      </c>
      <c r="B49" s="10" t="s">
        <v>106</v>
      </c>
      <c r="C49" s="10">
        <v>36</v>
      </c>
      <c r="I49"/>
      <c r="J49"/>
      <c r="K49"/>
    </row>
    <row r="50" spans="1:11" x14ac:dyDescent="0.3">
      <c r="A50" s="10" t="s">
        <v>118</v>
      </c>
      <c r="B50" s="10" t="s">
        <v>106</v>
      </c>
      <c r="C50" s="10">
        <v>17</v>
      </c>
      <c r="I50"/>
      <c r="J50"/>
      <c r="K50"/>
    </row>
    <row r="51" spans="1:11" x14ac:dyDescent="0.3">
      <c r="A51" s="10" t="s">
        <v>119</v>
      </c>
      <c r="B51" s="10" t="s">
        <v>106</v>
      </c>
      <c r="C51" s="10">
        <v>51</v>
      </c>
      <c r="I51"/>
      <c r="J51"/>
      <c r="K51"/>
    </row>
    <row r="52" spans="1:11" x14ac:dyDescent="0.3">
      <c r="A52" s="10" t="s">
        <v>122</v>
      </c>
      <c r="B52" s="10" t="s">
        <v>26</v>
      </c>
      <c r="C52" s="53">
        <v>66392</v>
      </c>
      <c r="I52"/>
      <c r="J52"/>
      <c r="K52"/>
    </row>
    <row r="53" spans="1:11" x14ac:dyDescent="0.3">
      <c r="A53" s="10" t="s">
        <v>120</v>
      </c>
      <c r="B53" s="10" t="s">
        <v>95</v>
      </c>
      <c r="C53" s="10" t="s">
        <v>177</v>
      </c>
      <c r="I53"/>
      <c r="J53"/>
      <c r="K53"/>
    </row>
    <row r="54" spans="1:11" x14ac:dyDescent="0.3">
      <c r="A54" s="10" t="s">
        <v>121</v>
      </c>
      <c r="B54" s="10" t="s">
        <v>83</v>
      </c>
      <c r="C54" s="10" t="s">
        <v>123</v>
      </c>
      <c r="I54"/>
      <c r="J54"/>
      <c r="K54"/>
    </row>
    <row r="55" spans="1:11" x14ac:dyDescent="0.3">
      <c r="I55"/>
      <c r="J55"/>
      <c r="K55"/>
    </row>
    <row r="56" spans="1:11" x14ac:dyDescent="0.3">
      <c r="I56"/>
      <c r="J56"/>
      <c r="K56"/>
    </row>
    <row r="57" spans="1:11" x14ac:dyDescent="0.3">
      <c r="I57"/>
      <c r="J57"/>
      <c r="K57"/>
    </row>
  </sheetData>
  <mergeCells count="7">
    <mergeCell ref="A45:D45"/>
    <mergeCell ref="I1:K1"/>
    <mergeCell ref="M1:AD1"/>
    <mergeCell ref="E1:G1"/>
    <mergeCell ref="A1:C1"/>
    <mergeCell ref="A3:B3"/>
    <mergeCell ref="I3:J3"/>
  </mergeCells>
  <conditionalFormatting pivot="1" sqref="N7:AD42">
    <cfRule type="colorScale" priority="2">
      <colorScale>
        <cfvo type="min"/>
        <cfvo type="percentile" val="50"/>
        <cfvo type="max"/>
        <color theme="4" tint="0.79998168889431442"/>
        <color theme="4" tint="0.39997558519241921"/>
        <color theme="4"/>
      </colorScale>
    </cfRule>
  </conditionalFormatting>
  <conditionalFormatting pivot="1" sqref="N7:AD42">
    <cfRule type="colorScale" priority="1">
      <colorScale>
        <cfvo type="min"/>
        <cfvo type="percentile" val="50"/>
        <cfvo type="max"/>
        <color theme="4" tint="0.79998168889431442"/>
        <color theme="4" tint="0.39997558519241921"/>
        <color theme="4" tint="-0.249977111117893"/>
      </colorScale>
    </cfRule>
  </conditionalFormatting>
  <pageMargins left="0.7" right="0.7" top="0.75" bottom="0.75" header="0.3" footer="0.3"/>
  <pageSetup orientation="portrait" r:id="rId5"/>
  <tableParts count="1">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1"/>
  <sheetViews>
    <sheetView showGridLines="0" tabSelected="1" zoomScaleNormal="100" workbookViewId="0">
      <selection activeCell="J16" sqref="J16"/>
    </sheetView>
  </sheetViews>
  <sheetFormatPr defaultRowHeight="14.4" x14ac:dyDescent="0.3"/>
  <cols>
    <col min="5" max="5" width="8.88671875" customWidth="1"/>
    <col min="9" max="9" width="8.88671875" customWidth="1"/>
  </cols>
  <sheetData>
    <row r="1" spans="1:19" s="18" customFormat="1" ht="23.4" customHeight="1" x14ac:dyDescent="0.45">
      <c r="A1" s="19" t="s">
        <v>124</v>
      </c>
      <c r="B1" s="19"/>
      <c r="C1" s="19"/>
      <c r="D1" s="19"/>
      <c r="E1" s="19"/>
      <c r="F1" s="19"/>
      <c r="G1" s="19"/>
      <c r="H1" s="19"/>
    </row>
    <row r="2" spans="1:19" s="18" customFormat="1" ht="18" customHeight="1" x14ac:dyDescent="0.45">
      <c r="A2" s="20" t="s">
        <v>125</v>
      </c>
      <c r="B2" s="19"/>
      <c r="C2" s="19"/>
      <c r="D2" s="19"/>
      <c r="E2" s="19"/>
      <c r="F2" s="19"/>
      <c r="G2" s="19"/>
      <c r="H2" s="19"/>
    </row>
    <row r="3" spans="1:19" s="18" customFormat="1" ht="14.4" customHeight="1" x14ac:dyDescent="0.45">
      <c r="A3" s="21" t="s">
        <v>126</v>
      </c>
      <c r="B3" s="19"/>
      <c r="C3" s="19"/>
      <c r="D3" s="19"/>
      <c r="E3" s="19"/>
      <c r="F3" s="19"/>
      <c r="G3" s="19"/>
      <c r="H3" s="19"/>
    </row>
    <row r="4" spans="1:19" s="18" customFormat="1" ht="3.6" customHeight="1" x14ac:dyDescent="0.45"/>
    <row r="5" spans="1:19" ht="18" customHeight="1" x14ac:dyDescent="0.3">
      <c r="A5" s="60" t="s">
        <v>127</v>
      </c>
      <c r="B5" s="60"/>
      <c r="C5" s="60"/>
      <c r="D5" s="60"/>
      <c r="E5" s="22"/>
      <c r="F5" s="62" t="s">
        <v>117</v>
      </c>
      <c r="G5" s="62"/>
      <c r="H5" s="62"/>
      <c r="I5" s="62"/>
      <c r="K5" s="62" t="s">
        <v>118</v>
      </c>
      <c r="L5" s="62"/>
      <c r="M5" s="62"/>
      <c r="N5" s="62"/>
      <c r="P5" s="62" t="s">
        <v>119</v>
      </c>
      <c r="Q5" s="62"/>
      <c r="R5" s="62"/>
      <c r="S5" s="62"/>
    </row>
    <row r="6" spans="1:19" ht="14.4" customHeight="1" x14ac:dyDescent="0.3">
      <c r="A6" s="60"/>
      <c r="B6" s="60"/>
      <c r="C6" s="60"/>
      <c r="D6" s="60"/>
      <c r="E6" s="22"/>
      <c r="F6" s="62"/>
      <c r="G6" s="62"/>
      <c r="H6" s="62"/>
      <c r="I6" s="62"/>
      <c r="K6" s="62"/>
      <c r="L6" s="62"/>
      <c r="M6" s="62"/>
      <c r="N6" s="62"/>
      <c r="P6" s="62"/>
      <c r="Q6" s="62"/>
      <c r="R6" s="62"/>
      <c r="S6" s="62"/>
    </row>
    <row r="7" spans="1:19" ht="14.4" customHeight="1" x14ac:dyDescent="0.3">
      <c r="A7" s="61" t="str">
        <f xml:space="preserve"> Analysis!C48</f>
        <v>4,58,285</v>
      </c>
      <c r="B7" s="61"/>
      <c r="C7" s="61"/>
      <c r="D7" s="61"/>
      <c r="E7" s="22"/>
      <c r="F7" s="63">
        <f xml:space="preserve"> Analysis!C49</f>
        <v>36</v>
      </c>
      <c r="G7" s="63"/>
      <c r="H7" s="63"/>
      <c r="I7" s="63"/>
      <c r="K7" s="63">
        <f xml:space="preserve"> Analysis!C50</f>
        <v>17</v>
      </c>
      <c r="L7" s="63"/>
      <c r="M7" s="63"/>
      <c r="N7" s="63"/>
      <c r="P7" s="63">
        <f xml:space="preserve"> Analysis!C51</f>
        <v>51</v>
      </c>
      <c r="Q7" s="63"/>
      <c r="R7" s="63"/>
      <c r="S7" s="63"/>
    </row>
    <row r="8" spans="1:19" x14ac:dyDescent="0.3">
      <c r="A8" s="61"/>
      <c r="B8" s="61"/>
      <c r="C8" s="61"/>
      <c r="D8" s="61"/>
      <c r="F8" s="63"/>
      <c r="G8" s="63"/>
      <c r="H8" s="63"/>
      <c r="I8" s="63"/>
      <c r="K8" s="63"/>
      <c r="L8" s="63"/>
      <c r="M8" s="63"/>
      <c r="N8" s="63"/>
      <c r="P8" s="63"/>
      <c r="Q8" s="63"/>
      <c r="R8" s="63"/>
      <c r="S8" s="63"/>
    </row>
    <row r="11" spans="1:19" x14ac:dyDescent="0.3">
      <c r="A11" s="60" t="s">
        <v>139</v>
      </c>
      <c r="B11" s="60"/>
      <c r="C11" s="60"/>
      <c r="D11" s="60"/>
      <c r="F11" s="62" t="s">
        <v>120</v>
      </c>
      <c r="G11" s="62"/>
      <c r="H11" s="62"/>
      <c r="I11" s="62"/>
      <c r="K11" s="62" t="s">
        <v>121</v>
      </c>
      <c r="L11" s="62"/>
      <c r="M11" s="62"/>
      <c r="N11" s="62"/>
    </row>
    <row r="12" spans="1:19" x14ac:dyDescent="0.3">
      <c r="A12" s="60"/>
      <c r="B12" s="60"/>
      <c r="C12" s="60"/>
      <c r="D12" s="60"/>
      <c r="F12" s="62"/>
      <c r="G12" s="62"/>
      <c r="H12" s="62"/>
      <c r="I12" s="62"/>
      <c r="K12" s="62"/>
      <c r="L12" s="62"/>
      <c r="M12" s="62"/>
      <c r="N12" s="62"/>
    </row>
    <row r="13" spans="1:19" x14ac:dyDescent="0.3">
      <c r="A13" s="61" t="str">
        <f xml:space="preserve"> Analysis!B52</f>
        <v>Uttar Pradesh</v>
      </c>
      <c r="B13" s="61"/>
      <c r="C13" s="61"/>
      <c r="D13" s="61"/>
      <c r="F13" s="63" t="str">
        <f xml:space="preserve"> Analysis!B53</f>
        <v>Domestic Violence</v>
      </c>
      <c r="G13" s="63"/>
      <c r="H13" s="63"/>
      <c r="I13" s="63"/>
      <c r="K13" s="63" t="str">
        <f xml:space="preserve"> Analysis!B54</f>
        <v>Cruelty by Husband/Relatives</v>
      </c>
      <c r="L13" s="63"/>
      <c r="M13" s="63"/>
      <c r="N13" s="63"/>
    </row>
    <row r="14" spans="1:19" x14ac:dyDescent="0.3">
      <c r="A14" s="61"/>
      <c r="B14" s="61"/>
      <c r="C14" s="61"/>
      <c r="D14" s="61"/>
      <c r="F14" s="63"/>
      <c r="G14" s="63"/>
      <c r="H14" s="63"/>
      <c r="I14" s="63"/>
      <c r="K14" s="63"/>
      <c r="L14" s="63"/>
      <c r="M14" s="63"/>
      <c r="N14" s="63"/>
    </row>
    <row r="15" spans="1:19" x14ac:dyDescent="0.3">
      <c r="A15" s="66">
        <f>Analysis!C52</f>
        <v>66392</v>
      </c>
      <c r="B15" s="64"/>
      <c r="C15" s="64"/>
      <c r="D15" s="64"/>
      <c r="F15" s="64" t="str">
        <f xml:space="preserve"> Analysis!C53</f>
        <v>1,34,308</v>
      </c>
      <c r="G15" s="64"/>
      <c r="H15" s="64"/>
      <c r="I15" s="64"/>
      <c r="K15" s="64" t="str">
        <f xml:space="preserve"> Analysis!C54</f>
        <v>1,33,676</v>
      </c>
      <c r="L15" s="64"/>
      <c r="M15" s="64"/>
      <c r="N15" s="64"/>
    </row>
    <row r="16" spans="1:19" x14ac:dyDescent="0.3">
      <c r="A16" s="64"/>
      <c r="B16" s="64"/>
      <c r="C16" s="64"/>
      <c r="D16" s="64"/>
      <c r="F16" s="64"/>
      <c r="G16" s="64"/>
      <c r="H16" s="64"/>
      <c r="I16" s="64"/>
      <c r="K16" s="64"/>
      <c r="L16" s="64"/>
      <c r="M16" s="64"/>
      <c r="N16" s="64"/>
    </row>
    <row r="20" spans="1:37" x14ac:dyDescent="0.3">
      <c r="AK20" s="24"/>
    </row>
    <row r="23" spans="1:37" x14ac:dyDescent="0.3">
      <c r="S23" s="24"/>
    </row>
    <row r="28" spans="1:37" ht="21" x14ac:dyDescent="0.4">
      <c r="T28" s="27"/>
    </row>
    <row r="29" spans="1:37" x14ac:dyDescent="0.3">
      <c r="P29" s="23"/>
    </row>
    <row r="30" spans="1:37" s="24" customFormat="1" ht="24" customHeight="1" x14ac:dyDescent="0.4">
      <c r="A30" s="29" t="s">
        <v>128</v>
      </c>
      <c r="B30" s="30"/>
      <c r="C30" s="31"/>
      <c r="D30" s="32"/>
      <c r="G30" s="28" t="s">
        <v>129</v>
      </c>
      <c r="H30" s="54"/>
      <c r="I30" s="54"/>
      <c r="J30" s="32"/>
      <c r="K30" s="55"/>
      <c r="N30" s="28" t="s">
        <v>130</v>
      </c>
      <c r="O30" s="33" t="s">
        <v>131</v>
      </c>
      <c r="P30" s="30" t="s">
        <v>130</v>
      </c>
      <c r="Q30" s="30"/>
      <c r="R30" s="56"/>
      <c r="S30" s="56"/>
      <c r="T30" s="56"/>
      <c r="U30" s="56"/>
    </row>
    <row r="31" spans="1:37" s="24" customFormat="1" ht="15" customHeight="1" x14ac:dyDescent="0.3">
      <c r="A31" s="25"/>
      <c r="B31" s="25"/>
      <c r="C31" s="26"/>
    </row>
  </sheetData>
  <mergeCells count="17">
    <mergeCell ref="K5:N6"/>
    <mergeCell ref="K7:N8"/>
    <mergeCell ref="K15:N16"/>
    <mergeCell ref="P5:S6"/>
    <mergeCell ref="P7:S8"/>
    <mergeCell ref="K11:N12"/>
    <mergeCell ref="K13:N14"/>
    <mergeCell ref="A13:D14"/>
    <mergeCell ref="A15:D16"/>
    <mergeCell ref="F11:I12"/>
    <mergeCell ref="F13:I14"/>
    <mergeCell ref="F15:I16"/>
    <mergeCell ref="A5:D6"/>
    <mergeCell ref="A7:D8"/>
    <mergeCell ref="F5:I6"/>
    <mergeCell ref="F7:I8"/>
    <mergeCell ref="A11:D1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6"/>
  <sheetViews>
    <sheetView showGridLines="0" topLeftCell="A21" workbookViewId="0">
      <selection activeCell="H14" sqref="H14"/>
    </sheetView>
  </sheetViews>
  <sheetFormatPr defaultRowHeight="14.4" x14ac:dyDescent="0.3"/>
  <cols>
    <col min="1" max="1" width="15.44140625" customWidth="1"/>
    <col min="2" max="2" width="26.109375" customWidth="1"/>
    <col min="3" max="3" width="19.21875" bestFit="1" customWidth="1"/>
    <col min="4" max="4" width="27" customWidth="1"/>
    <col min="5" max="5" width="10.44140625" customWidth="1"/>
  </cols>
  <sheetData>
    <row r="1" spans="1:25" s="65" customFormat="1" ht="23.4" customHeight="1" x14ac:dyDescent="0.3">
      <c r="A1" s="65" t="s">
        <v>132</v>
      </c>
    </row>
    <row r="2" spans="1:25" s="65" customFormat="1" x14ac:dyDescent="0.3"/>
    <row r="3" spans="1:25" s="21" customFormat="1" ht="18" x14ac:dyDescent="0.35">
      <c r="A3" s="34" t="s">
        <v>133</v>
      </c>
      <c r="B3" s="34"/>
      <c r="C3" s="34"/>
    </row>
    <row r="4" spans="1:25" s="21" customFormat="1" ht="19.8" customHeight="1" x14ac:dyDescent="0.3">
      <c r="A4" s="38" t="s">
        <v>126</v>
      </c>
      <c r="B4" s="39"/>
      <c r="C4" s="39"/>
    </row>
    <row r="6" spans="1:25" ht="18" x14ac:dyDescent="0.35">
      <c r="A6" s="36" t="s">
        <v>134</v>
      </c>
      <c r="B6" s="37"/>
      <c r="C6" s="37"/>
    </row>
    <row r="7" spans="1:25" ht="7.8" customHeight="1" x14ac:dyDescent="0.3"/>
    <row r="8" spans="1:25" s="35" customFormat="1" ht="15.6" x14ac:dyDescent="0.3">
      <c r="A8" s="41" t="s">
        <v>150</v>
      </c>
      <c r="B8" s="41"/>
      <c r="C8" s="41"/>
      <c r="D8" s="41"/>
      <c r="E8" s="41"/>
      <c r="F8" s="41"/>
      <c r="G8" s="41"/>
      <c r="H8" s="41"/>
      <c r="I8" s="41"/>
      <c r="J8" s="41"/>
      <c r="K8" s="41"/>
      <c r="L8" s="41"/>
      <c r="M8" s="41"/>
      <c r="N8" s="41"/>
      <c r="O8" s="41"/>
      <c r="P8" s="40"/>
      <c r="Q8" s="40"/>
      <c r="R8" s="40"/>
      <c r="S8" s="40"/>
      <c r="T8" s="40"/>
      <c r="U8" s="40"/>
      <c r="V8" s="40"/>
      <c r="W8" s="40"/>
      <c r="X8" s="40"/>
      <c r="Y8" s="40"/>
    </row>
    <row r="9" spans="1:25" s="35" customFormat="1" ht="15.6" x14ac:dyDescent="0.3">
      <c r="A9" s="41" t="s">
        <v>170</v>
      </c>
      <c r="B9" s="41"/>
      <c r="C9" s="41"/>
      <c r="D9" s="41"/>
      <c r="E9" s="41"/>
      <c r="F9" s="41"/>
      <c r="G9" s="41"/>
      <c r="H9" s="41"/>
      <c r="I9" s="41"/>
      <c r="J9" s="41"/>
      <c r="K9" s="41"/>
      <c r="L9" s="41"/>
      <c r="M9" s="41"/>
      <c r="N9" s="41"/>
      <c r="O9" s="41"/>
    </row>
    <row r="10" spans="1:25" x14ac:dyDescent="0.3">
      <c r="B10" s="42"/>
    </row>
    <row r="11" spans="1:25" ht="18" x14ac:dyDescent="0.35">
      <c r="A11" s="36" t="s">
        <v>149</v>
      </c>
      <c r="B11" s="36"/>
    </row>
    <row r="13" spans="1:25" ht="15.6" x14ac:dyDescent="0.3">
      <c r="A13" s="45" t="s">
        <v>135</v>
      </c>
      <c r="B13" s="45" t="s">
        <v>136</v>
      </c>
      <c r="C13" s="45" t="s">
        <v>137</v>
      </c>
      <c r="D13" s="45" t="s">
        <v>138</v>
      </c>
    </row>
    <row r="14" spans="1:25" ht="46.8" x14ac:dyDescent="0.3">
      <c r="A14" s="46">
        <v>1</v>
      </c>
      <c r="B14" s="47" t="s">
        <v>139</v>
      </c>
      <c r="C14" s="46" t="s">
        <v>178</v>
      </c>
      <c r="D14" s="46" t="s">
        <v>140</v>
      </c>
    </row>
    <row r="15" spans="1:25" ht="62.4" x14ac:dyDescent="0.3">
      <c r="A15" s="46">
        <v>2</v>
      </c>
      <c r="B15" s="47" t="s">
        <v>141</v>
      </c>
      <c r="C15" s="46" t="s">
        <v>182</v>
      </c>
      <c r="D15" s="46" t="s">
        <v>142</v>
      </c>
    </row>
    <row r="16" spans="1:25" ht="46.8" x14ac:dyDescent="0.3">
      <c r="A16" s="46">
        <v>3</v>
      </c>
      <c r="B16" s="47" t="s">
        <v>171</v>
      </c>
      <c r="C16" s="46" t="s">
        <v>179</v>
      </c>
      <c r="D16" s="46" t="s">
        <v>143</v>
      </c>
    </row>
    <row r="17" spans="1:30" ht="62.4" x14ac:dyDescent="0.3">
      <c r="A17" s="46">
        <v>4</v>
      </c>
      <c r="B17" s="47" t="s">
        <v>172</v>
      </c>
      <c r="C17" s="46" t="s">
        <v>151</v>
      </c>
      <c r="D17" s="46" t="s">
        <v>144</v>
      </c>
    </row>
    <row r="18" spans="1:30" ht="46.8" x14ac:dyDescent="0.3">
      <c r="A18" s="46">
        <v>5</v>
      </c>
      <c r="B18" s="47" t="s">
        <v>145</v>
      </c>
      <c r="C18" s="48">
        <v>0.97230000000000005</v>
      </c>
      <c r="D18" s="46" t="s">
        <v>146</v>
      </c>
    </row>
    <row r="19" spans="1:30" ht="62.4" x14ac:dyDescent="0.3">
      <c r="A19" s="46">
        <v>6</v>
      </c>
      <c r="B19" s="47" t="s">
        <v>147</v>
      </c>
      <c r="C19" s="46" t="s">
        <v>152</v>
      </c>
      <c r="D19" s="46" t="s">
        <v>148</v>
      </c>
    </row>
    <row r="20" spans="1:30" ht="18" customHeight="1" x14ac:dyDescent="0.3"/>
    <row r="21" spans="1:30" ht="18" x14ac:dyDescent="0.35">
      <c r="A21" s="36" t="s">
        <v>153</v>
      </c>
      <c r="B21" s="36"/>
    </row>
    <row r="23" spans="1:30" ht="15.6" x14ac:dyDescent="0.3">
      <c r="A23" s="41" t="s">
        <v>183</v>
      </c>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row>
    <row r="24" spans="1:30" ht="15.6" x14ac:dyDescent="0.3">
      <c r="A24" s="41" t="s">
        <v>185</v>
      </c>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row>
    <row r="25" spans="1:30" ht="15.6" x14ac:dyDescent="0.3">
      <c r="A25" s="41" t="s">
        <v>184</v>
      </c>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row>
    <row r="27" spans="1:30" ht="18" x14ac:dyDescent="0.35">
      <c r="A27" s="36" t="s">
        <v>154</v>
      </c>
      <c r="B27" s="36"/>
    </row>
    <row r="29" spans="1:30" ht="15.6" x14ac:dyDescent="0.3">
      <c r="A29" s="47" t="s">
        <v>155</v>
      </c>
      <c r="B29" s="47" t="s">
        <v>162</v>
      </c>
      <c r="C29" s="43"/>
      <c r="D29" s="43"/>
      <c r="E29" s="43"/>
    </row>
    <row r="30" spans="1:30" ht="31.2" x14ac:dyDescent="0.3">
      <c r="A30" s="46" t="s">
        <v>156</v>
      </c>
      <c r="B30" s="46" t="s">
        <v>163</v>
      </c>
      <c r="C30" s="44"/>
      <c r="D30" s="44"/>
      <c r="E30" s="44"/>
    </row>
    <row r="31" spans="1:30" ht="46.8" x14ac:dyDescent="0.3">
      <c r="A31" s="46" t="s">
        <v>157</v>
      </c>
      <c r="B31" s="46" t="s">
        <v>164</v>
      </c>
      <c r="C31" s="44"/>
      <c r="D31" s="44"/>
      <c r="E31" s="44"/>
    </row>
    <row r="32" spans="1:30" ht="31.2" x14ac:dyDescent="0.3">
      <c r="A32" s="46" t="s">
        <v>158</v>
      </c>
      <c r="B32" s="46" t="s">
        <v>165</v>
      </c>
      <c r="C32" s="44"/>
      <c r="D32" s="44"/>
      <c r="E32" s="44"/>
    </row>
    <row r="33" spans="1:5" ht="46.8" x14ac:dyDescent="0.3">
      <c r="A33" s="46" t="s">
        <v>159</v>
      </c>
      <c r="B33" s="46" t="s">
        <v>166</v>
      </c>
      <c r="C33" s="44"/>
      <c r="D33" s="44"/>
      <c r="E33" s="44"/>
    </row>
    <row r="34" spans="1:5" ht="31.2" x14ac:dyDescent="0.3">
      <c r="A34" s="46" t="s">
        <v>160</v>
      </c>
      <c r="B34" s="46" t="s">
        <v>167</v>
      </c>
      <c r="C34" s="44"/>
      <c r="D34" s="44"/>
      <c r="E34" s="44"/>
    </row>
    <row r="35" spans="1:5" ht="31.2" x14ac:dyDescent="0.3">
      <c r="A35" s="46" t="s">
        <v>161</v>
      </c>
      <c r="B35" s="46" t="s">
        <v>168</v>
      </c>
      <c r="C35" s="44"/>
      <c r="D35" s="44"/>
      <c r="E35" s="44"/>
    </row>
    <row r="36" spans="1:5" ht="46.8" x14ac:dyDescent="0.3">
      <c r="A36" s="46" t="s">
        <v>138</v>
      </c>
      <c r="B36" s="46" t="s">
        <v>169</v>
      </c>
      <c r="C36" s="44"/>
      <c r="D36" s="44"/>
      <c r="E36" s="44"/>
    </row>
  </sheetData>
  <mergeCells count="1">
    <mergeCell ref="A1:XFD2"/>
  </mergeCells>
  <pageMargins left="0.7" right="0.7" top="0.75" bottom="0.75" header="0.3" footer="0.3"/>
  <pageSetup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94B48C-DA0A-4020-BD81-1D9D9F2C72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NCRB_CII_2023_Table_3A.2_0</vt:lpstr>
      <vt:lpstr>Normalized_Data</vt:lpstr>
      <vt:lpstr>Detailed_Data_Breakdown</vt:lpstr>
      <vt:lpstr>Dashboard_Data</vt:lpstr>
      <vt:lpstr>Analysis</vt:lpstr>
      <vt:lpstr>Dashboard</vt:lpstr>
      <vt:lpstr>Key_Insights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2026-07-29T12:12:49Z</dcterms:created>
  <dcterms:modified xsi:type="dcterms:W3CDTF">2026-09-17T11:55:33Z</dcterms:modified>
</cp:coreProperties>
</file>